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nnal\Google Drive\! Blind Love\! Pendas\Operations\Matching Algorithm\"/>
    </mc:Choice>
  </mc:AlternateContent>
  <xr:revisionPtr revIDLastSave="0" documentId="13_ncr:1_{37069297-990C-453C-9909-852E43CA6DC3}" xr6:coauthVersionLast="45" xr6:coauthVersionMax="45" xr10:uidLastSave="{00000000-0000-0000-0000-000000000000}"/>
  <bookViews>
    <workbookView xWindow="-21720" yWindow="2265" windowWidth="21840" windowHeight="12825" xr2:uid="{00000000-000D-0000-FFFF-FFFF00000000}"/>
  </bookViews>
  <sheets>
    <sheet name="MF Matches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3" l="1"/>
  <c r="E3" i="3"/>
  <c r="F3" i="3"/>
  <c r="G3" i="3"/>
  <c r="H3" i="3"/>
  <c r="I3" i="3"/>
  <c r="J3" i="3"/>
  <c r="K3" i="3"/>
  <c r="L3" i="3"/>
  <c r="D4" i="3"/>
  <c r="E4" i="3"/>
  <c r="F4" i="3"/>
  <c r="G4" i="3"/>
  <c r="H4" i="3"/>
  <c r="I4" i="3"/>
  <c r="J4" i="3"/>
  <c r="K4" i="3"/>
  <c r="L4" i="3"/>
  <c r="D5" i="3"/>
  <c r="E5" i="3"/>
  <c r="F5" i="3"/>
  <c r="G5" i="3"/>
  <c r="H5" i="3"/>
  <c r="I5" i="3"/>
  <c r="J5" i="3"/>
  <c r="K5" i="3"/>
  <c r="L5" i="3"/>
  <c r="D6" i="3"/>
  <c r="E6" i="3"/>
  <c r="F6" i="3"/>
  <c r="G6" i="3"/>
  <c r="H6" i="3"/>
  <c r="I6" i="3"/>
  <c r="J6" i="3"/>
  <c r="K6" i="3"/>
  <c r="L6" i="3"/>
  <c r="D7" i="3"/>
  <c r="E7" i="3"/>
  <c r="F7" i="3"/>
  <c r="G7" i="3"/>
  <c r="H7" i="3"/>
  <c r="I7" i="3"/>
  <c r="J7" i="3"/>
  <c r="K7" i="3"/>
  <c r="L7" i="3"/>
  <c r="D8" i="3"/>
  <c r="E8" i="3"/>
  <c r="F8" i="3"/>
  <c r="G8" i="3"/>
  <c r="H8" i="3"/>
  <c r="I8" i="3"/>
  <c r="J8" i="3"/>
  <c r="K8" i="3"/>
  <c r="L8" i="3"/>
  <c r="D9" i="3"/>
  <c r="E9" i="3"/>
  <c r="F9" i="3"/>
  <c r="G9" i="3"/>
  <c r="H9" i="3"/>
  <c r="I9" i="3"/>
  <c r="J9" i="3"/>
  <c r="K9" i="3"/>
  <c r="L9" i="3"/>
  <c r="D10" i="3"/>
  <c r="E10" i="3"/>
  <c r="F10" i="3"/>
  <c r="G10" i="3"/>
  <c r="H10" i="3"/>
  <c r="I10" i="3"/>
  <c r="J10" i="3"/>
  <c r="K10" i="3"/>
  <c r="L10" i="3"/>
  <c r="D11" i="3"/>
  <c r="E11" i="3"/>
  <c r="F11" i="3"/>
  <c r="G11" i="3"/>
  <c r="H11" i="3"/>
  <c r="I11" i="3"/>
  <c r="J11" i="3"/>
  <c r="K11" i="3"/>
  <c r="L11" i="3"/>
  <c r="D12" i="3"/>
  <c r="E12" i="3"/>
  <c r="F12" i="3"/>
  <c r="G12" i="3"/>
  <c r="H12" i="3"/>
  <c r="I12" i="3"/>
  <c r="J12" i="3"/>
  <c r="K12" i="3"/>
  <c r="L12" i="3"/>
  <c r="D13" i="3"/>
  <c r="E13" i="3"/>
  <c r="F13" i="3"/>
  <c r="G13" i="3"/>
  <c r="H13" i="3"/>
  <c r="I13" i="3"/>
  <c r="J13" i="3"/>
  <c r="K13" i="3"/>
  <c r="L13" i="3"/>
  <c r="D14" i="3"/>
  <c r="E14" i="3"/>
  <c r="F14" i="3"/>
  <c r="G14" i="3"/>
  <c r="H14" i="3"/>
  <c r="I14" i="3"/>
  <c r="J14" i="3"/>
  <c r="K14" i="3"/>
  <c r="L14" i="3"/>
  <c r="D15" i="3"/>
  <c r="E15" i="3"/>
  <c r="F15" i="3"/>
  <c r="G15" i="3"/>
  <c r="H15" i="3"/>
  <c r="I15" i="3"/>
  <c r="J15" i="3"/>
  <c r="K15" i="3"/>
  <c r="L15" i="3"/>
  <c r="D16" i="3"/>
  <c r="E16" i="3"/>
  <c r="F16" i="3"/>
  <c r="G16" i="3"/>
  <c r="H16" i="3"/>
  <c r="I16" i="3"/>
  <c r="J16" i="3"/>
  <c r="K16" i="3"/>
  <c r="L16" i="3"/>
  <c r="D17" i="3"/>
  <c r="E17" i="3"/>
  <c r="F17" i="3"/>
  <c r="G17" i="3"/>
  <c r="H17" i="3"/>
  <c r="I17" i="3"/>
  <c r="J17" i="3"/>
  <c r="K17" i="3"/>
  <c r="L17" i="3"/>
  <c r="D18" i="3"/>
  <c r="E18" i="3"/>
  <c r="F18" i="3"/>
  <c r="G18" i="3"/>
  <c r="H18" i="3"/>
  <c r="I18" i="3"/>
  <c r="J18" i="3"/>
  <c r="K18" i="3"/>
  <c r="L18" i="3"/>
  <c r="D19" i="3"/>
  <c r="E19" i="3"/>
  <c r="F19" i="3"/>
  <c r="G19" i="3"/>
  <c r="H19" i="3"/>
  <c r="I19" i="3"/>
  <c r="J19" i="3"/>
  <c r="K19" i="3"/>
  <c r="L19" i="3"/>
  <c r="D20" i="3"/>
  <c r="E20" i="3"/>
  <c r="F20" i="3"/>
  <c r="G20" i="3"/>
  <c r="H20" i="3"/>
  <c r="I20" i="3"/>
  <c r="J20" i="3"/>
  <c r="K20" i="3"/>
  <c r="L20" i="3"/>
  <c r="D21" i="3"/>
  <c r="E21" i="3"/>
  <c r="F21" i="3"/>
  <c r="G21" i="3"/>
  <c r="H21" i="3"/>
  <c r="I21" i="3"/>
  <c r="J21" i="3"/>
  <c r="K21" i="3"/>
  <c r="L21" i="3"/>
  <c r="D22" i="3"/>
  <c r="E22" i="3"/>
  <c r="F22" i="3"/>
  <c r="G22" i="3"/>
  <c r="H22" i="3"/>
  <c r="I22" i="3"/>
  <c r="J22" i="3"/>
  <c r="K22" i="3"/>
  <c r="L22" i="3"/>
  <c r="D23" i="3"/>
  <c r="E23" i="3"/>
  <c r="F23" i="3"/>
  <c r="G23" i="3"/>
  <c r="H23" i="3"/>
  <c r="I23" i="3"/>
  <c r="J23" i="3"/>
  <c r="K23" i="3"/>
  <c r="L23" i="3"/>
  <c r="D24" i="3"/>
  <c r="E24" i="3"/>
  <c r="F24" i="3"/>
  <c r="G24" i="3"/>
  <c r="H24" i="3"/>
  <c r="I24" i="3"/>
  <c r="J24" i="3"/>
  <c r="K24" i="3"/>
  <c r="L24" i="3"/>
  <c r="D25" i="3"/>
  <c r="E25" i="3"/>
  <c r="F25" i="3"/>
  <c r="G25" i="3"/>
  <c r="H25" i="3"/>
  <c r="I25" i="3"/>
  <c r="J25" i="3"/>
  <c r="K25" i="3"/>
  <c r="L25" i="3"/>
  <c r="D26" i="3"/>
  <c r="E26" i="3"/>
  <c r="F26" i="3"/>
  <c r="G26" i="3"/>
  <c r="H26" i="3"/>
  <c r="I26" i="3"/>
  <c r="J26" i="3"/>
  <c r="K26" i="3"/>
  <c r="L26" i="3"/>
  <c r="D27" i="3"/>
  <c r="E27" i="3"/>
  <c r="F27" i="3"/>
  <c r="G27" i="3"/>
  <c r="H27" i="3"/>
  <c r="I27" i="3"/>
  <c r="J27" i="3"/>
  <c r="K27" i="3"/>
  <c r="L27" i="3"/>
  <c r="D28" i="3"/>
  <c r="E28" i="3"/>
  <c r="F28" i="3"/>
  <c r="G28" i="3"/>
  <c r="H28" i="3"/>
  <c r="I28" i="3"/>
  <c r="J28" i="3"/>
  <c r="K28" i="3"/>
  <c r="L28" i="3"/>
  <c r="D29" i="3"/>
  <c r="E29" i="3"/>
  <c r="F29" i="3"/>
  <c r="G29" i="3"/>
  <c r="H29" i="3"/>
  <c r="I29" i="3"/>
  <c r="J29" i="3"/>
  <c r="K29" i="3"/>
  <c r="L29" i="3"/>
  <c r="D30" i="3"/>
  <c r="E30" i="3"/>
  <c r="F30" i="3"/>
  <c r="G30" i="3"/>
  <c r="H30" i="3"/>
  <c r="I30" i="3"/>
  <c r="J30" i="3"/>
  <c r="K30" i="3"/>
  <c r="L30" i="3"/>
  <c r="D31" i="3"/>
  <c r="E31" i="3"/>
  <c r="F31" i="3"/>
  <c r="G31" i="3"/>
  <c r="H31" i="3"/>
  <c r="I31" i="3"/>
  <c r="J31" i="3"/>
  <c r="K31" i="3"/>
  <c r="L31" i="3"/>
  <c r="D32" i="3"/>
  <c r="E32" i="3"/>
  <c r="F32" i="3"/>
  <c r="G32" i="3"/>
  <c r="H32" i="3"/>
  <c r="I32" i="3"/>
  <c r="J32" i="3"/>
  <c r="K32" i="3"/>
  <c r="L32" i="3"/>
  <c r="D33" i="3"/>
  <c r="E33" i="3"/>
  <c r="F33" i="3"/>
  <c r="G33" i="3"/>
  <c r="H33" i="3"/>
  <c r="I33" i="3"/>
  <c r="J33" i="3"/>
  <c r="K33" i="3"/>
  <c r="L33" i="3"/>
  <c r="D34" i="3"/>
  <c r="E34" i="3"/>
  <c r="F34" i="3"/>
  <c r="G34" i="3"/>
  <c r="H34" i="3"/>
  <c r="I34" i="3"/>
  <c r="J34" i="3"/>
  <c r="K34" i="3"/>
  <c r="L34" i="3"/>
  <c r="D35" i="3"/>
  <c r="E35" i="3"/>
  <c r="F35" i="3"/>
  <c r="G35" i="3"/>
  <c r="H35" i="3"/>
  <c r="I35" i="3"/>
  <c r="J35" i="3"/>
  <c r="K35" i="3"/>
  <c r="L35" i="3"/>
  <c r="D36" i="3"/>
  <c r="E36" i="3"/>
  <c r="F36" i="3"/>
  <c r="G36" i="3"/>
  <c r="H36" i="3"/>
  <c r="I36" i="3"/>
  <c r="J36" i="3"/>
  <c r="K36" i="3"/>
  <c r="L36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A21" i="3" l="1"/>
  <c r="M21" i="3"/>
  <c r="A22" i="3"/>
  <c r="M22" i="3"/>
  <c r="A23" i="3"/>
  <c r="M23" i="3"/>
  <c r="A24" i="3"/>
  <c r="M24" i="3"/>
  <c r="A25" i="3"/>
  <c r="M25" i="3"/>
  <c r="A26" i="3"/>
  <c r="M26" i="3"/>
  <c r="A27" i="3"/>
  <c r="M27" i="3"/>
  <c r="A28" i="3"/>
  <c r="M28" i="3"/>
  <c r="A29" i="3"/>
  <c r="M29" i="3"/>
  <c r="A30" i="3"/>
  <c r="M30" i="3"/>
  <c r="A31" i="3"/>
  <c r="M31" i="3"/>
  <c r="A32" i="3"/>
  <c r="M32" i="3"/>
  <c r="A33" i="3"/>
  <c r="M33" i="3"/>
  <c r="A34" i="3"/>
  <c r="M34" i="3"/>
  <c r="A35" i="3"/>
  <c r="M35" i="3"/>
  <c r="A36" i="3"/>
  <c r="M36" i="3"/>
  <c r="A14" i="3" l="1"/>
  <c r="A15" i="3"/>
  <c r="A16" i="3"/>
  <c r="A17" i="3"/>
  <c r="A18" i="3"/>
  <c r="A19" i="3"/>
  <c r="A20" i="3"/>
  <c r="A4" i="3"/>
  <c r="A5" i="3"/>
  <c r="A6" i="3"/>
  <c r="A7" i="3"/>
  <c r="A8" i="3"/>
  <c r="A9" i="3"/>
  <c r="A10" i="3"/>
  <c r="A11" i="3"/>
  <c r="A12" i="3"/>
  <c r="A13" i="3"/>
  <c r="A3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3" i="3" l="1"/>
  <c r="M4" i="3"/>
  <c r="M5" i="3"/>
  <c r="M6" i="3"/>
</calcChain>
</file>

<file path=xl/sharedStrings.xml><?xml version="1.0" encoding="utf-8"?>
<sst xmlns="http://schemas.openxmlformats.org/spreadsheetml/2006/main" count="416" uniqueCount="153">
  <si>
    <t>Column1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</si>
  <si>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</si>
  <si>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</si>
  <si>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</si>
  <si>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</si>
  <si>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</si>
  <si>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</si>
  <si>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</si>
  <si>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</si>
  <si>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</si>
  <si>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</si>
  <si>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Anonymous</t>
  </si>
  <si>
    <t>Match1</t>
  </si>
  <si>
    <t>Match2</t>
  </si>
  <si>
    <t>Match3</t>
  </si>
  <si>
    <t>Match4</t>
  </si>
  <si>
    <t>Match5</t>
  </si>
  <si>
    <t>Match6</t>
  </si>
  <si>
    <t>Match7</t>
  </si>
  <si>
    <t>Match8</t>
  </si>
  <si>
    <t>Fake</t>
  </si>
  <si>
    <t>Male</t>
  </si>
  <si>
    <t>EDU</t>
  </si>
  <si>
    <t>Match9</t>
  </si>
  <si>
    <t>Match10</t>
  </si>
  <si>
    <t>annamli@wharton.upenn.edu</t>
  </si>
  <si>
    <t>Boston</t>
  </si>
  <si>
    <t>New York</t>
  </si>
  <si>
    <t>Philadelphia</t>
  </si>
  <si>
    <t>peacelovesanitizerwaves@gmail.com</t>
  </si>
  <si>
    <t>2020quarantineqt@gmail.com</t>
  </si>
  <si>
    <t>quarantinedqueen@gmail.com</t>
  </si>
  <si>
    <t>sweetchildofwine7@gmail.com</t>
  </si>
  <si>
    <t>columbiaquarantina@gmail.com</t>
  </si>
  <si>
    <t>g604yzzntt@gmail.com</t>
  </si>
  <si>
    <t>antarxsblue@gmail.com</t>
  </si>
  <si>
    <t>grkn2519@gmail.com</t>
  </si>
  <si>
    <t>lastminutegirl588@gmail.com</t>
  </si>
  <si>
    <t>Cinnabonlover9@gmail.com</t>
  </si>
  <si>
    <t>osakas2er@gmail.com</t>
  </si>
  <si>
    <t>curlyqlox333@gmail.com</t>
  </si>
  <si>
    <t>quarntn2020@gmail.com</t>
  </si>
  <si>
    <t>Itr11iris@gmail.com</t>
  </si>
  <si>
    <t>Tennisluvr08@gmail.com</t>
  </si>
  <si>
    <t>saerlea2020@gmail.com</t>
  </si>
  <si>
    <t>Boboflores26@gmail.com</t>
  </si>
  <si>
    <t>kuddlingkoala@gmail.com</t>
  </si>
  <si>
    <t>anonymous999321@gmail.com</t>
  </si>
  <si>
    <t>proxymoronicking@gmail.com</t>
  </si>
  <si>
    <t>bschoolloveisblind22@gmail.com</t>
  </si>
  <si>
    <t>socialdistantdatingisathing@gmail.com</t>
  </si>
  <si>
    <t>thejerkyman@gmail.com</t>
  </si>
  <si>
    <t>mrsocialdistance@gmail.com</t>
  </si>
  <si>
    <t>Kryptosav@gmail.com</t>
  </si>
  <si>
    <t>coronacuff@gmail.com</t>
  </si>
  <si>
    <t>theganggetsquarantined@gmail.com</t>
  </si>
  <si>
    <t>philaustintexas@gmail.com</t>
  </si>
  <si>
    <t>loverinquarantine@gmail.com</t>
  </si>
  <si>
    <t>mbasorosken030@gmail.com</t>
  </si>
  <si>
    <t>digitalcricket00@gmail.com</t>
  </si>
  <si>
    <t>VernickOnMyMind@gmail.com</t>
  </si>
  <si>
    <t>travel.read.game@gmail.com</t>
  </si>
  <si>
    <t>wewillsurvive.202021@gmail.com</t>
  </si>
  <si>
    <t>nycountingcalories@gmail.com</t>
  </si>
  <si>
    <t>noiceburner@gmail.com</t>
  </si>
  <si>
    <t>Harvardcollegeadmissions@gmail.com</t>
  </si>
  <si>
    <t>wkddhks7000@gmail.com</t>
  </si>
  <si>
    <t>Pigeonsrule91@gmail.com</t>
  </si>
  <si>
    <t>Kihwoo12@gmail.com</t>
  </si>
  <si>
    <t>isloveblind987@gmail.com</t>
  </si>
  <si>
    <t>blindbard25@gmail.com</t>
  </si>
  <si>
    <t>Washington DC</t>
  </si>
  <si>
    <t>contact@artifactnewyork.com</t>
  </si>
  <si>
    <t>Freecashflow21@gmail.com</t>
  </si>
  <si>
    <t>omlettedufromage92@gmail.com</t>
  </si>
  <si>
    <t>buccooreef868@gmail.com</t>
  </si>
  <si>
    <t>Brooklyntohanover@gmail.com</t>
  </si>
  <si>
    <t>clersaye@gmail.com</t>
  </si>
  <si>
    <t>southernchallah@gmail.com</t>
  </si>
  <si>
    <t>mbanonymous9@gmail.com</t>
  </si>
  <si>
    <t>goblue1422@gmail.com</t>
  </si>
  <si>
    <t>alltheeggsinonebasket3@gmail.com</t>
  </si>
  <si>
    <t>mischiefmanaged1910@gmail.com</t>
  </si>
  <si>
    <t>hillcrest346@gmail.com</t>
  </si>
  <si>
    <t>mbaquar123@gmail.com</t>
  </si>
  <si>
    <t>Skiing, Hiking</t>
  </si>
  <si>
    <t>Cooking and working out (sounds lame)</t>
  </si>
  <si>
    <t>Food anthropology shows, the ocean</t>
  </si>
  <si>
    <t>foodgramming poker</t>
  </si>
  <si>
    <t>Playing tennis and world traveling!</t>
  </si>
  <si>
    <t>Fencing, Photography</t>
  </si>
  <si>
    <t>Kite-surfing, diving, jumping in the rain</t>
  </si>
  <si>
    <t>Clothing/vintage + sports</t>
  </si>
  <si>
    <t>Networking' &amp; Being Sarcastic</t>
  </si>
  <si>
    <t>Reading non-fiction and baking</t>
  </si>
  <si>
    <t>Playing piano, breakfast</t>
  </si>
  <si>
    <t>rock music and surfing</t>
  </si>
  <si>
    <t>Restaurants / Bars, Cycling</t>
  </si>
  <si>
    <t>playing guitar and cooking</t>
  </si>
  <si>
    <t>Travel (57 countries!), Foodie (ask about restaurants!)</t>
  </si>
  <si>
    <t>I DJ, My hips don’t lie</t>
  </si>
  <si>
    <t>stand up comedian and pun maker</t>
  </si>
  <si>
    <t>Playing Guitar / Singing, Trying Breweries</t>
  </si>
  <si>
    <t>Marathon Running, Global Travel</t>
  </si>
  <si>
    <t>art music</t>
  </si>
  <si>
    <t>Adventure sports, MCU fan</t>
  </si>
  <si>
    <t>Road-tripping and laughing</t>
  </si>
  <si>
    <t>Cooking and spin class</t>
  </si>
  <si>
    <t>Tattoos &amp; singing rock music</t>
  </si>
  <si>
    <t>Outdoors, podcasts, travel, keeping in touch</t>
  </si>
  <si>
    <t>Music and Space</t>
  </si>
  <si>
    <t>Cooking, Reading</t>
  </si>
  <si>
    <t>Cooking/Restaurants &amp; fitness</t>
  </si>
  <si>
    <t>Poker, basketball</t>
  </si>
  <si>
    <t>Sports and cooking</t>
  </si>
  <si>
    <t>Sailing, Hiking</t>
  </si>
  <si>
    <t>Poker, yoga</t>
  </si>
  <si>
    <t>Walk in yard, garage gym</t>
  </si>
  <si>
    <t>Wrestling, snowboarding</t>
  </si>
  <si>
    <t>Spent a month on a tropical island</t>
  </si>
  <si>
    <t>food instagram, play trumpet</t>
  </si>
  <si>
    <t>dsalama@mba2020.hbs.edu</t>
  </si>
  <si>
    <t>padma.krishnan.tu20@tuck.dartmouth.edu</t>
  </si>
  <si>
    <t>costivr@wharton.upenn.edu</t>
  </si>
  <si>
    <t>Mj948@stern.nyu.edu</t>
  </si>
  <si>
    <t>Se345@cornell.edu</t>
  </si>
  <si>
    <t>ac4375@columbia.edu</t>
  </si>
  <si>
    <t>Sarah.worden.tu20@tuck.dartmouth.edu</t>
  </si>
  <si>
    <t>Irolla@mit.edu</t>
  </si>
  <si>
    <t>sara.ackermann@yale.edu</t>
  </si>
  <si>
    <t>eemiller@stanford.edu</t>
  </si>
  <si>
    <t>livivian@wharton.upenn.edu</t>
  </si>
  <si>
    <t>tegaedah@wharton.upenn.edu</t>
  </si>
  <si>
    <t>Amanda.d.weatherhead.tu20@tuck.dartmouth.edu</t>
  </si>
  <si>
    <t>sahi.kollu@emory.edu</t>
  </si>
  <si>
    <t>carrie.salmon@stern.nyu.edu</t>
  </si>
  <si>
    <t>Sjih@wharton.upenn.edu</t>
  </si>
  <si>
    <t>las631@stern.nyu.edu</t>
  </si>
  <si>
    <t>ky1326@stern.nyu.edu</t>
  </si>
  <si>
    <t>aniekeme@wharton.upenn.edu</t>
  </si>
  <si>
    <t>@anderson.ucla.edu</t>
  </si>
  <si>
    <t>@babson.edu</t>
  </si>
  <si>
    <t>@wharton.upenn.edu</t>
  </si>
  <si>
    <t>@jbs.cam.ac.uk</t>
  </si>
  <si>
    <t>@berkeley.edu</t>
  </si>
  <si>
    <t>@mba2020.hbs.edu</t>
  </si>
  <si>
    <t>@mba2022.hbs.edu</t>
  </si>
  <si>
    <t>@hms.harvard.edu</t>
  </si>
  <si>
    <t>@stern.nyu.edu</t>
  </si>
  <si>
    <t>@kellogg.northwestern.edu</t>
  </si>
  <si>
    <t>@bu.edu</t>
  </si>
  <si>
    <t>@utexas.edu</t>
  </si>
  <si>
    <t>@nd.edu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</si>
</sst>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rgb="FF000000"/>
      <name val="Arial"/>
    </font>
    <font>
      <b/>
      <sz val="10"/>
      <color rgb="FF00000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b/>
      <sz val="11"/>
      <color theme="1"/>
      <name val="Arial"/>
      <family val="2"/>
      <scheme val="minor"/>
    </font>
    <font>
      <sz val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 applyFont="1" applyAlignment="1"/>
    <xf numFmtId="0" fontId="1" fillId="0" borderId="0" xfId="0" applyFont="1" applyAlignment="1"/>
    <xf numFmtId="0" fontId="2" fillId="0" borderId="0" xfId="1" applyAlignment="1"/>
    <xf numFmtId="0" fontId="4" fillId="2" borderId="0" xfId="0" applyFont="1" applyFill="1" applyAlignment="1"/>
    <xf numFmtId="0" fontId="4" fillId="0" borderId="0" xfId="0" applyFont="1" applyAlignment="1"/>
    <xf numFmtId="0" fontId="2" fillId="0" borderId="0" xfId="1" applyBorder="1" applyAlignment="1"/>
    <xf numFmtId="0" fontId="0" fillId="0" borderId="0" xfId="0" applyFont="1" applyBorder="1" applyAlignment="1"/>
    <xf numFmtId="0" fontId="4" fillId="0" borderId="0" xfId="0" applyFont="1" applyBorder="1" applyAlignment="1"/>
    <xf numFmtId="0" fontId="3" fillId="0" borderId="0" xfId="0" applyFont="1" applyBorder="1" applyAlignment="1"/>
    <xf numFmtId="0" fontId="3" fillId="3" borderId="0" xfId="0" applyFont="1" applyFill="1" applyBorder="1" applyAlignment="1"/>
    <xf numFmtId="0" fontId="0" fillId="3" borderId="0" xfId="0" applyFont="1" applyFill="1" applyBorder="1" applyAlignment="1"/>
    <xf numFmtId="0" fontId="4" fillId="3" borderId="0" xfId="0" applyFont="1" applyFill="1" applyBorder="1" applyAlignment="1"/>
    <xf numFmtId="0" fontId="1" fillId="0" borderId="0" xfId="0" applyFont="1" applyBorder="1" applyAlignment="1"/>
    <xf numFmtId="0" fontId="2" fillId="0" borderId="0" xfId="1" applyNumberFormat="1" applyAlignment="1"/>
    <xf numFmtId="0" fontId="2" fillId="0" borderId="0" xfId="1" applyNumberFormat="1" applyBorder="1" applyAlignment="1"/>
    <xf numFmtId="0" fontId="5" fillId="0" borderId="0" xfId="0" applyFont="1" applyBorder="1" applyAlignment="1"/>
    <xf numFmtId="0" fontId="0" fillId="3" borderId="0" xfId="0" applyFill="1" applyAlignment="1"/>
  </cellXfs>
  <cellStyles count="2">
    <cellStyle name="Hyperlink" xfId="1" builtinId="8"/>
    <cellStyle name="Normal" xfId="0" builtinId="0"/>
  </cellStyles>
  <dxfs count="14"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693EAB3-1B2D-45F7-8F95-B7B181952C55}" name="Table1" displayName="Table1" ref="B2:M36" totalsRowShown="0" headerRowDxfId="13" dataDxfId="12" dataCellStyle="Hyperlink">
  <autoFilter ref="B2:M36" xr:uid="{37884896-A724-469E-A37B-68F3BD5CB38B}"/>
  <tableColumns count="12">
    <tableColumn id="1" xr3:uid="{607E9F14-8BD3-4C81-98F4-6CAAB5E398DB}" name="Column1" dataDxfId="11"/>
    <tableColumn id="2" xr3:uid="{36A5263F-92E2-44FC-8FDE-547289B80593}" name="1" dataDxfId="10" dataCellStyle="Hyperlink">
      <calculatedColumnFormula>IF(OR(ISBLANK(Q3),Q3=" "),"n.a.",CONCATENATE(Q3," - ",LEFT(AB3,1)," (",AM3,")"," - Interests: ",AX3))</calculatedColumnFormula>
    </tableColumn>
    <tableColumn id="3" xr3:uid="{E546D19F-50BC-4CB0-90AB-E29AEB62F079}" name="2" dataDxfId="9" dataCellStyle="Hyperlink">
      <calculatedColumnFormula>IF(OR(ISBLANK(R3),R3=" "),"n.a.",CONCATENATE(R3," - ",LEFT(AC3,1)," (",AN3,")"," - Interests: ",AY3))</calculatedColumnFormula>
    </tableColumn>
    <tableColumn id="4" xr3:uid="{9C0A2964-199B-4003-8454-C1F312D22854}" name="3" dataDxfId="8" dataCellStyle="Hyperlink">
      <calculatedColumnFormula>IF(OR(ISBLANK(S3),S3=" "),"n.a.",CONCATENATE(S3," - ",LEFT(AD3,1)," (",AO3,")"," - Interests: ",AZ3))</calculatedColumnFormula>
    </tableColumn>
    <tableColumn id="5" xr3:uid="{3C09189B-E295-40C4-AB5F-B371FAB084E3}" name="4" dataDxfId="7" dataCellStyle="Hyperlink">
      <calculatedColumnFormula>IF(OR(ISBLANK(T3),T3=" "),"n.a.",CONCATENATE(T3," - ",LEFT(AE3,1)," (",AP3,")"," - Interests: ",BA3))</calculatedColumnFormula>
    </tableColumn>
    <tableColumn id="6" xr3:uid="{A2C876B5-7BE7-4512-ABB7-4CAF9314026C}" name="5" dataDxfId="6" dataCellStyle="Hyperlink">
      <calculatedColumnFormula>IF(OR(ISBLANK(U3),U3=" "),"n.a.",CONCATENATE(U3," - ",LEFT(AF3,1)," (",AQ3,")"," - Interests: ",BB3))</calculatedColumnFormula>
    </tableColumn>
    <tableColumn id="7" xr3:uid="{62844484-CD5B-4AC4-B796-4B34E4FB751F}" name="6" dataDxfId="5" dataCellStyle="Hyperlink">
      <calculatedColumnFormula>IF(OR(ISBLANK(V3),V3=" "),"n.a.",CONCATENATE(V3," - ",LEFT(AG3,1)," (",AR3,")"," - Interests: ",BC3))</calculatedColumnFormula>
    </tableColumn>
    <tableColumn id="8" xr3:uid="{46C54E1D-6350-46BD-A575-8E1629D8A8BD}" name="7" dataDxfId="4" dataCellStyle="Hyperlink">
      <calculatedColumnFormula>IF(OR(ISBLANK(W3),W3=" "),"n.a.",CONCATENATE(W3," - ",LEFT(AH3,1)," (",AS3,")"," - Interests: ",BD3))</calculatedColumnFormula>
    </tableColumn>
    <tableColumn id="9" xr3:uid="{045E19E0-53F1-494F-8B63-20CDF81E94D4}" name="8" dataDxfId="3" dataCellStyle="Hyperlink">
      <calculatedColumnFormula>IF(OR(ISBLANK(X3),X3=" "),"n.a.",CONCATENATE(X3," - ",LEFT(AI3,1)," (",AT3,")"," - Interests: ",BE3))</calculatedColumnFormula>
    </tableColumn>
    <tableColumn id="10" xr3:uid="{E3BF82CF-6637-409D-8D92-2FB3C520FA19}" name="9" dataDxfId="2" dataCellStyle="Hyperlink">
      <calculatedColumnFormula>IF(OR(ISBLANK(Y3),Y3=" "),"n.a.",CONCATENATE(Y3," - ",LEFT(AJ3,1)," (",AU3,")"," - Interests: ",BF3))</calculatedColumnFormula>
    </tableColumn>
    <tableColumn id="12" xr3:uid="{158AAB69-0DDC-4141-82A8-A553C1DF38EE}" name="10" dataDxfId="1" dataCellStyle="Hyperlink">
      <calculatedColumnFormula>IF(OR(ISBLANK(Z3),Z3=" "),"n.a.",CONCATENATE(Z3," - ",LEFT(AK3,1)," (",AV3,")"," - Interests: ",BG3))</calculatedColumnFormula>
    </tableColumn>
    <tableColumn id="11" xr3:uid="{30174D02-A2C4-4FDD-8E50-51F7A5CFA559}" name="Anonymous" dataDxfId="0" dataCellStyle="Hyperlink">
      <calculatedColumnFormula>O3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D4018-4CE7-48E7-B887-0AB25FCE2C14}">
  <sheetPr codeName="Sheet2"/>
  <dimension ref="A1:BG88"/>
  <sheetViews>
    <sheetView showGridLines="0" tabSelected="1" zoomScale="80" zoomScaleNormal="80" workbookViewId="0"/>
  </sheetViews>
  <sheetFormatPr defaultRowHeight="12.45" x14ac:dyDescent="0.3"/>
  <cols>
    <col min="2" max="2" width="31.84375" style="12" customWidth="1"/>
    <col min="3" max="4" width="44.69140625" bestFit="1" customWidth="1"/>
    <col min="6" max="6" width="17.84375" customWidth="1"/>
    <col min="17" max="47" width="9.23046875" style="6"/>
    <col min="50" max="58" width="9.23046875" style="6"/>
  </cols>
  <sheetData>
    <row r="1" spans="1:59" x14ac:dyDescent="0.3">
      <c r="A1" s="3">
        <v>7</v>
      </c>
      <c r="P1" s="4" t="s">
        <v>25</v>
      </c>
    </row>
    <row r="2" spans="1:59" ht="14.15" x14ac:dyDescent="0.35">
      <c r="B2" s="1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s="4" t="s">
        <v>11</v>
      </c>
      <c r="O2" s="1" t="s">
        <v>20</v>
      </c>
      <c r="P2" s="1" t="s">
        <v>22</v>
      </c>
      <c r="Q2" s="15" t="s">
        <v>12</v>
      </c>
      <c r="R2" s="15" t="s">
        <v>13</v>
      </c>
      <c r="S2" s="15" t="s">
        <v>14</v>
      </c>
      <c r="T2" s="15" t="s">
        <v>15</v>
      </c>
      <c r="U2" s="15" t="s">
        <v>16</v>
      </c>
      <c r="V2" s="15" t="s">
        <v>17</v>
      </c>
      <c r="W2" s="15" t="s">
        <v>18</v>
      </c>
      <c r="X2" s="15" t="s">
        <v>19</v>
      </c>
      <c r="Y2" s="15" t="s">
        <v>23</v>
      </c>
      <c r="Z2" s="15" t="s">
        <v>24</v>
      </c>
      <c r="AB2" s="15" t="s">
        <v>12</v>
      </c>
      <c r="AC2" s="15" t="s">
        <v>13</v>
      </c>
      <c r="AD2" s="15" t="s">
        <v>14</v>
      </c>
      <c r="AE2" s="15" t="s">
        <v>15</v>
      </c>
      <c r="AF2" s="15" t="s">
        <v>16</v>
      </c>
      <c r="AG2" s="15" t="s">
        <v>17</v>
      </c>
      <c r="AH2" s="15" t="s">
        <v>18</v>
      </c>
      <c r="AI2" s="15" t="s">
        <v>19</v>
      </c>
      <c r="AJ2" s="15" t="s">
        <v>23</v>
      </c>
      <c r="AK2" s="15" t="s">
        <v>24</v>
      </c>
      <c r="AL2" s="15"/>
      <c r="AM2" s="15" t="s">
        <v>12</v>
      </c>
      <c r="AN2" s="15" t="s">
        <v>13</v>
      </c>
      <c r="AO2" s="15" t="s">
        <v>14</v>
      </c>
      <c r="AP2" s="15" t="s">
        <v>15</v>
      </c>
      <c r="AQ2" s="15" t="s">
        <v>16</v>
      </c>
      <c r="AR2" s="15" t="s">
        <v>17</v>
      </c>
      <c r="AS2" s="15" t="s">
        <v>18</v>
      </c>
      <c r="AT2" s="15" t="s">
        <v>19</v>
      </c>
      <c r="AU2" s="15" t="s">
        <v>23</v>
      </c>
      <c r="AV2" s="15" t="s">
        <v>24</v>
      </c>
      <c r="AX2" s="15" t="s">
        <v>12</v>
      </c>
      <c r="AY2" s="15" t="s">
        <v>13</v>
      </c>
      <c r="AZ2" s="15" t="s">
        <v>14</v>
      </c>
      <c r="BA2" s="15" t="s">
        <v>15</v>
      </c>
      <c r="BB2" s="15" t="s">
        <v>16</v>
      </c>
      <c r="BC2" s="15" t="s">
        <v>17</v>
      </c>
      <c r="BD2" s="15" t="s">
        <v>18</v>
      </c>
      <c r="BE2" s="15" t="s">
        <v>19</v>
      </c>
      <c r="BF2" s="15" t="s">
        <v>23</v>
      </c>
      <c r="BG2" s="15" t="s">
        <v>24</v>
      </c>
    </row>
    <row r="3" spans="1:59" ht="14.6" x14ac:dyDescent="0.4">
      <c r="A3" t="b">
        <f>Table1[[#This Row],[Column1]]=P3</f>
        <v>0</v>
      </c>
      <c r="B3" s="5" t="s">
        <v>121</v>
      </c>
      <c r="C3" s="2" t="str">
        <f t="shared" ref="C3:C36" si="0">IF(OR(ISBLANK(Q3),Q3=" "),"n.a.",CONCATENATE(Q3," - ",LEFT(AB3,1)," (",AM3,")"," - Interests: ",AX3))</f>
        <v>coronacuff@gmail.com - M (Boston) - Interests: Playing Guitar / Singing, Trying Breweries</v>
      </c>
      <c r="D3" s="2" t="str">
        <f t="shared" ref="D3:D36" si="1">IF(OR(ISBLANK(R3),R3=" "),"n.a.",CONCATENATE(R3," - ",LEFT(AC3,1)," (",AN3,")"," - Interests: ",AY3))</f>
        <v>mbasorosken030@gmail.com - M (Philadelphia) - Interests: Marathon Running, Global Travel</v>
      </c>
      <c r="E3" s="2" t="str">
        <f t="shared" ref="E3:E36" si="2">IF(OR(ISBLANK(S3),S3=" "),"n.a.",CONCATENATE(S3," - ",LEFT(AD3,1)," (",AO3,")"," - Interests: ",AZ3))</f>
        <v>theganggetsquarantined@gmail.com - M (Boston) - Interests: art music</v>
      </c>
      <c r="F3" s="2" t="str">
        <f t="shared" ref="F3:F36" si="3">IF(OR(ISBLANK(T3),T3=" "),"n.a.",CONCATENATE(T3," - ",LEFT(AE3,1)," (",AP3,")"," - Interests: ",BA3))</f>
        <v>wewillsurvive.202021@gmail.com - M (New York) - Interests: Adventure sports, MCU fan</v>
      </c>
      <c r="G3" s="2" t="str">
        <f t="shared" ref="G3:G36" si="4">IF(OR(ISBLANK(U3),U3=" "),"n.a.",CONCATENATE(U3," - ",LEFT(AF3,1)," (",AQ3,")"," - Interests: ",BB3))</f>
        <v>n.a.</v>
      </c>
      <c r="H3" s="2" t="str">
        <f t="shared" ref="H3:H36" si="5">IF(OR(ISBLANK(V3),V3=" "),"n.a.",CONCATENATE(V3," - ",LEFT(AG3,1)," (",AR3,")"," - Interests: ",BC3))</f>
        <v>n.a.</v>
      </c>
      <c r="I3" s="2" t="str">
        <f t="shared" ref="I3:I36" si="6">IF(OR(ISBLANK(W3),W3=" "),"n.a.",CONCATENATE(W3," - ",LEFT(AH3,1)," (",AS3,")"," - Interests: ",BD3))</f>
        <v>n.a.</v>
      </c>
      <c r="J3" s="2" t="str">
        <f t="shared" ref="J3:J36" si="7">IF(OR(ISBLANK(X3),X3=" "),"n.a.",CONCATENATE(X3," - ",LEFT(AI3,1)," (",AT3,")"," - Interests: ",BE3))</f>
        <v>n.a.</v>
      </c>
      <c r="K3" s="2" t="str">
        <f t="shared" ref="K3:K36" si="8">IF(OR(ISBLANK(Y3),Y3=" "),"n.a.",CONCATENATE(Y3," - ",LEFT(AJ3,1)," (",AU3,")"," - Interests: ",BF3))</f>
        <v>n.a.</v>
      </c>
      <c r="L3" s="2" t="str">
        <f t="shared" ref="L3:L36" si="9">IF(OR(ISBLANK(Z3),Z3=" "),"n.a.",CONCATENATE(Z3," - ",LEFT(AK3,1)," (",AV3,")"," - Interests: ",BG3))</f>
        <v>n.a.</v>
      </c>
      <c r="M3" s="2" t="str">
        <f>O3</f>
        <v>quarntn2020@gmail.com</v>
      </c>
      <c r="O3" t="s">
        <v>41</v>
      </c>
      <c r="P3" s="4" t="s">
        <v>140</v>
      </c>
      <c r="Q3" s="16" t="s">
        <v>54</v>
      </c>
      <c r="R3" s="16" t="s">
        <v>58</v>
      </c>
      <c r="S3" s="16" t="s">
        <v>55</v>
      </c>
      <c r="T3" s="16" t="s">
        <v>62</v>
      </c>
      <c r="U3" s="16"/>
      <c r="V3" s="9"/>
      <c r="W3" s="9"/>
      <c r="X3" s="9"/>
      <c r="Y3" s="9"/>
      <c r="Z3" s="9"/>
      <c r="AA3" s="7"/>
      <c r="AB3" s="9" t="s">
        <v>21</v>
      </c>
      <c r="AC3" s="9" t="s">
        <v>21</v>
      </c>
      <c r="AD3" s="9" t="s">
        <v>21</v>
      </c>
      <c r="AE3" s="9" t="s">
        <v>21</v>
      </c>
      <c r="AF3" s="11"/>
      <c r="AG3" s="9"/>
      <c r="AH3" s="9"/>
      <c r="AI3" s="9"/>
      <c r="AJ3" s="9"/>
      <c r="AK3" s="9"/>
      <c r="AL3" s="7"/>
      <c r="AM3" s="9" t="s">
        <v>26</v>
      </c>
      <c r="AN3" s="9" t="s">
        <v>28</v>
      </c>
      <c r="AO3" s="9" t="s">
        <v>26</v>
      </c>
      <c r="AP3" s="9" t="s">
        <v>27</v>
      </c>
      <c r="AQ3" s="11"/>
      <c r="AR3" s="9"/>
      <c r="AS3" s="9"/>
      <c r="AT3" s="9"/>
      <c r="AU3" s="9"/>
      <c r="AV3" s="9"/>
      <c r="AX3" s="9" t="s">
        <v>102</v>
      </c>
      <c r="AY3" s="9" t="s">
        <v>103</v>
      </c>
      <c r="AZ3" s="9" t="s">
        <v>104</v>
      </c>
      <c r="BA3" s="9" t="s">
        <v>105</v>
      </c>
      <c r="BB3" s="11"/>
      <c r="BC3" s="9"/>
      <c r="BD3" s="9"/>
      <c r="BE3" s="9"/>
      <c r="BF3" s="9"/>
      <c r="BG3" s="9"/>
    </row>
    <row r="4" spans="1:59" ht="14.6" x14ac:dyDescent="0.4">
      <c r="A4" t="b">
        <f>Table1[[#This Row],[Column1]]=P4</f>
        <v>0</v>
      </c>
      <c r="B4" s="5" t="s">
        <v>122</v>
      </c>
      <c r="C4" s="2" t="str">
        <f t="shared" si="0"/>
        <v>goblue1422@gmail.com - M (New York) - Interests: Walk in yard, garage gym</v>
      </c>
      <c r="D4" s="2" t="str">
        <f t="shared" si="1"/>
        <v>Kihwoo12@gmail.com - M (New York) - Interests: Wrestling, snowboarding</v>
      </c>
      <c r="E4" s="2" t="str">
        <f t="shared" si="2"/>
        <v>bschoolloveisblind22@gmail.com - M (Boston) - Interests: Spent a month on a tropical island</v>
      </c>
      <c r="F4" s="2" t="str">
        <f t="shared" si="3"/>
        <v>mbanonymous9@gmail.com - M (New York) - Interests: food instagram, play trumpet</v>
      </c>
      <c r="G4" s="2" t="str">
        <f t="shared" si="4"/>
        <v>n.a.</v>
      </c>
      <c r="H4" s="2" t="str">
        <f t="shared" si="5"/>
        <v>n.a.</v>
      </c>
      <c r="I4" s="2" t="str">
        <f t="shared" si="6"/>
        <v>n.a.</v>
      </c>
      <c r="J4" s="2" t="str">
        <f t="shared" si="7"/>
        <v>n.a.</v>
      </c>
      <c r="K4" s="2" t="str">
        <f t="shared" si="8"/>
        <v>n.a.</v>
      </c>
      <c r="L4" s="2" t="str">
        <f t="shared" si="9"/>
        <v>n.a.</v>
      </c>
      <c r="M4" s="2" t="str">
        <f>O4</f>
        <v>sweetchildofwine7@gmail.com</v>
      </c>
      <c r="O4" t="s">
        <v>32</v>
      </c>
      <c r="P4" s="4" t="s">
        <v>141</v>
      </c>
      <c r="Q4" s="16" t="s">
        <v>80</v>
      </c>
      <c r="R4" s="16" t="s">
        <v>68</v>
      </c>
      <c r="S4" s="16" t="s">
        <v>49</v>
      </c>
      <c r="T4" s="16" t="s">
        <v>79</v>
      </c>
      <c r="U4" s="16"/>
      <c r="V4" s="9"/>
      <c r="W4" s="9"/>
      <c r="X4" s="9"/>
      <c r="Y4" s="9"/>
      <c r="Z4" s="9"/>
      <c r="AA4" s="7"/>
      <c r="AB4" s="9" t="s">
        <v>21</v>
      </c>
      <c r="AC4" s="9" t="s">
        <v>21</v>
      </c>
      <c r="AD4" s="9" t="s">
        <v>21</v>
      </c>
      <c r="AE4" s="9" t="s">
        <v>21</v>
      </c>
      <c r="AF4" s="11"/>
      <c r="AG4" s="9"/>
      <c r="AH4" s="9"/>
      <c r="AI4" s="9"/>
      <c r="AJ4" s="9"/>
      <c r="AK4" s="9"/>
      <c r="AL4" s="7"/>
      <c r="AM4" s="9" t="s">
        <v>27</v>
      </c>
      <c r="AN4" s="9" t="s">
        <v>27</v>
      </c>
      <c r="AO4" s="9" t="s">
        <v>26</v>
      </c>
      <c r="AP4" s="9" t="s">
        <v>27</v>
      </c>
      <c r="AQ4" s="11"/>
      <c r="AR4" s="9"/>
      <c r="AS4" s="9"/>
      <c r="AT4" s="9"/>
      <c r="AU4" s="9"/>
      <c r="AV4" s="9"/>
      <c r="AX4" s="9" t="s">
        <v>117</v>
      </c>
      <c r="AY4" s="9" t="s">
        <v>118</v>
      </c>
      <c r="AZ4" s="9" t="s">
        <v>119</v>
      </c>
      <c r="BA4" s="9" t="s">
        <v>120</v>
      </c>
      <c r="BB4" s="11"/>
      <c r="BC4" s="9"/>
      <c r="BD4" s="9"/>
      <c r="BE4" s="9"/>
      <c r="BF4" s="9"/>
      <c r="BG4" s="9"/>
    </row>
    <row r="5" spans="1:59" ht="14.6" x14ac:dyDescent="0.4">
      <c r="A5" t="b">
        <f>Table1[[#This Row],[Column1]]=P5</f>
        <v>0</v>
      </c>
      <c r="B5" s="5" t="s">
        <v>123</v>
      </c>
      <c r="C5" s="2" t="str">
        <f t="shared" si="0"/>
        <v>wkddhks7000@gmail.com - M (New York) - Interests: playing guitar and cooking</v>
      </c>
      <c r="D5" s="2" t="str">
        <f t="shared" si="1"/>
        <v>nycountingcalories@gmail.com - M (New York) - Interests: Travel (57 countries!), Foodie (ask about restaurants!)</v>
      </c>
      <c r="E5" s="2" t="str">
        <f t="shared" si="2"/>
        <v>Freecashflow21@gmail.com - M (New York) - Interests: I DJ, My hips don’t lie</v>
      </c>
      <c r="F5" s="2" t="str">
        <f t="shared" si="3"/>
        <v>Pigeonsrule91@gmail.com - M (New York) - Interests: stand up comedian and pun maker</v>
      </c>
      <c r="G5" s="2" t="str">
        <f t="shared" si="4"/>
        <v>n.a.</v>
      </c>
      <c r="H5" s="2" t="str">
        <f t="shared" si="5"/>
        <v>n.a.</v>
      </c>
      <c r="I5" s="2" t="str">
        <f t="shared" si="6"/>
        <v>n.a.</v>
      </c>
      <c r="J5" s="2" t="str">
        <f t="shared" si="7"/>
        <v>n.a.</v>
      </c>
      <c r="K5" s="2" t="str">
        <f t="shared" si="8"/>
        <v>n.a.</v>
      </c>
      <c r="L5" s="2" t="str">
        <f t="shared" si="9"/>
        <v>n.a.</v>
      </c>
      <c r="M5" s="2" t="str">
        <f>O5</f>
        <v>anonymous999321@gmail.com</v>
      </c>
      <c r="O5" t="s">
        <v>47</v>
      </c>
      <c r="P5" s="4" t="s">
        <v>142</v>
      </c>
      <c r="Q5" s="16" t="s">
        <v>66</v>
      </c>
      <c r="R5" s="16" t="s">
        <v>63</v>
      </c>
      <c r="S5" s="16" t="s">
        <v>73</v>
      </c>
      <c r="T5" s="16" t="s">
        <v>67</v>
      </c>
      <c r="U5" s="16"/>
      <c r="V5" s="9"/>
      <c r="W5" s="9"/>
      <c r="X5" s="9"/>
      <c r="Y5" s="9"/>
      <c r="Z5" s="9"/>
      <c r="AA5" s="7"/>
      <c r="AB5" s="9" t="s">
        <v>21</v>
      </c>
      <c r="AC5" s="9" t="s">
        <v>21</v>
      </c>
      <c r="AD5" s="9" t="s">
        <v>21</v>
      </c>
      <c r="AE5" s="9" t="s">
        <v>21</v>
      </c>
      <c r="AF5" s="11"/>
      <c r="AG5" s="9"/>
      <c r="AH5" s="9"/>
      <c r="AI5" s="9"/>
      <c r="AJ5" s="9"/>
      <c r="AK5" s="9"/>
      <c r="AL5" s="7"/>
      <c r="AM5" s="9" t="s">
        <v>27</v>
      </c>
      <c r="AN5" s="9" t="s">
        <v>27</v>
      </c>
      <c r="AO5" s="9" t="s">
        <v>27</v>
      </c>
      <c r="AP5" s="9" t="s">
        <v>27</v>
      </c>
      <c r="AQ5" s="11"/>
      <c r="AR5" s="9"/>
      <c r="AS5" s="9"/>
      <c r="AT5" s="9"/>
      <c r="AU5" s="9"/>
      <c r="AV5" s="9"/>
      <c r="AX5" s="9" t="s">
        <v>98</v>
      </c>
      <c r="AY5" s="9" t="s">
        <v>99</v>
      </c>
      <c r="AZ5" s="9" t="s">
        <v>100</v>
      </c>
      <c r="BA5" s="9" t="s">
        <v>101</v>
      </c>
      <c r="BB5" s="11"/>
      <c r="BC5" s="9"/>
      <c r="BD5" s="9"/>
      <c r="BE5" s="9"/>
      <c r="BF5" s="9"/>
      <c r="BG5" s="9"/>
    </row>
    <row r="6" spans="1:59" ht="14.6" x14ac:dyDescent="0.4">
      <c r="A6" t="b">
        <f>Table1[[#This Row],[Column1]]=P6</f>
        <v>0</v>
      </c>
      <c r="B6" s="5" t="s">
        <v>124</v>
      </c>
      <c r="C6" s="2" t="str">
        <f t="shared" si="0"/>
        <v>travel.read.game@gmail.com - M (Washington DC) - Interests: Playing tennis and world traveling!</v>
      </c>
      <c r="D6" s="2" t="str">
        <f t="shared" si="1"/>
        <v>buccooreef868@gmail.com - M (New York) - Interests: Fencing, Photography</v>
      </c>
      <c r="E6" s="2" t="str">
        <f t="shared" si="2"/>
        <v>mischiefmanaged1910@gmail.com - M (New York) - Interests: Kite-surfing, diving, jumping in the rain</v>
      </c>
      <c r="F6" s="2" t="str">
        <f t="shared" si="3"/>
        <v>contact@artifactnewyork.com - M (New York) - Interests: Clothing/vintage + sports</v>
      </c>
      <c r="G6" s="2" t="str">
        <f t="shared" si="4"/>
        <v>n.a.</v>
      </c>
      <c r="H6" s="2" t="str">
        <f t="shared" si="5"/>
        <v>n.a.</v>
      </c>
      <c r="I6" s="2" t="str">
        <f t="shared" si="6"/>
        <v>n.a.</v>
      </c>
      <c r="J6" s="2" t="str">
        <f t="shared" si="7"/>
        <v>n.a.</v>
      </c>
      <c r="K6" s="2" t="str">
        <f t="shared" si="8"/>
        <v>n.a.</v>
      </c>
      <c r="L6" s="2" t="str">
        <f t="shared" si="9"/>
        <v>n.a.</v>
      </c>
      <c r="M6" s="2" t="str">
        <f>O6</f>
        <v>Boboflores26@gmail.com</v>
      </c>
      <c r="O6" t="s">
        <v>45</v>
      </c>
      <c r="P6" t="s">
        <v>143</v>
      </c>
      <c r="Q6" s="16" t="s">
        <v>61</v>
      </c>
      <c r="R6" s="16" t="s">
        <v>75</v>
      </c>
      <c r="S6" s="16" t="s">
        <v>82</v>
      </c>
      <c r="T6" s="16" t="s">
        <v>72</v>
      </c>
      <c r="U6" s="16"/>
      <c r="V6" s="9"/>
      <c r="W6" s="9"/>
      <c r="X6" s="9"/>
      <c r="Y6" s="9"/>
      <c r="Z6" s="9"/>
      <c r="AA6" s="7"/>
      <c r="AB6" s="9" t="s">
        <v>21</v>
      </c>
      <c r="AC6" s="9" t="s">
        <v>21</v>
      </c>
      <c r="AD6" s="9" t="s">
        <v>21</v>
      </c>
      <c r="AE6" s="9" t="s">
        <v>21</v>
      </c>
      <c r="AF6" s="9"/>
      <c r="AG6" s="9"/>
      <c r="AH6" s="9"/>
      <c r="AI6" s="9"/>
      <c r="AJ6" s="9"/>
      <c r="AK6" s="9"/>
      <c r="AL6" s="7"/>
      <c r="AM6" s="9" t="s">
        <v>71</v>
      </c>
      <c r="AN6" s="9" t="s">
        <v>27</v>
      </c>
      <c r="AO6" s="9" t="s">
        <v>27</v>
      </c>
      <c r="AP6" s="9" t="s">
        <v>27</v>
      </c>
      <c r="AQ6" s="9"/>
      <c r="AR6" s="9"/>
      <c r="AS6" s="9"/>
      <c r="AT6" s="9"/>
      <c r="AU6" s="9"/>
      <c r="AV6" s="9"/>
      <c r="AX6" s="9" t="s">
        <v>89</v>
      </c>
      <c r="AY6" s="9" t="s">
        <v>90</v>
      </c>
      <c r="AZ6" s="9" t="s">
        <v>91</v>
      </c>
      <c r="BA6" s="9" t="s">
        <v>92</v>
      </c>
      <c r="BB6" s="9"/>
      <c r="BC6" s="9"/>
      <c r="BD6" s="9"/>
      <c r="BE6" s="9"/>
      <c r="BF6" s="9"/>
      <c r="BG6" s="9"/>
    </row>
    <row r="7" spans="1:59" ht="14.6" x14ac:dyDescent="0.4">
      <c r="A7" t="b">
        <f>Table1[[#This Row],[Column1]]=P7</f>
        <v>0</v>
      </c>
      <c r="B7" s="14" t="s">
        <v>125</v>
      </c>
      <c r="C7" s="13" t="str">
        <f t="shared" si="0"/>
        <v>Kryptosav@gmail.com - M (Boston) - Interests: Reading non-fiction and baking</v>
      </c>
      <c r="D7" s="13" t="str">
        <f t="shared" si="1"/>
        <v>clersaye@gmail.com - M (New York) - Interests: Playing piano, breakfast</v>
      </c>
      <c r="E7" s="13" t="str">
        <f t="shared" si="2"/>
        <v>philaustintexas@gmail.com - M (Boston) - Interests: rock music and surfing</v>
      </c>
      <c r="F7" s="13" t="str">
        <f t="shared" si="3"/>
        <v>VernickOnMyMind@gmail.com - M (Philadelphia) - Interests: Restaurants / Bars, Cycling</v>
      </c>
      <c r="G7" s="13" t="str">
        <f t="shared" si="4"/>
        <v>n.a.</v>
      </c>
      <c r="H7" s="13" t="str">
        <f t="shared" si="5"/>
        <v>n.a.</v>
      </c>
      <c r="I7" s="13" t="str">
        <f t="shared" si="6"/>
        <v>n.a.</v>
      </c>
      <c r="J7" s="13" t="str">
        <f t="shared" si="7"/>
        <v>n.a.</v>
      </c>
      <c r="K7" s="13" t="str">
        <f t="shared" si="8"/>
        <v>n.a.</v>
      </c>
      <c r="L7" s="13" t="str">
        <f t="shared" si="9"/>
        <v>n.a.</v>
      </c>
      <c r="M7" s="13" t="str">
        <f t="shared" ref="M7:M20" si="10">O7</f>
        <v>Cinnabonlover9@gmail.com</v>
      </c>
      <c r="O7" t="s">
        <v>38</v>
      </c>
      <c r="P7" t="s">
        <v>144</v>
      </c>
      <c r="Q7" s="16" t="s">
        <v>53</v>
      </c>
      <c r="R7" s="16" t="s">
        <v>77</v>
      </c>
      <c r="S7" s="16" t="s">
        <v>56</v>
      </c>
      <c r="T7" s="16" t="s">
        <v>60</v>
      </c>
      <c r="U7" s="16"/>
      <c r="V7" s="9"/>
      <c r="W7" s="9"/>
      <c r="X7" s="9"/>
      <c r="Y7" s="9"/>
      <c r="Z7" s="9"/>
      <c r="AA7" s="7"/>
      <c r="AB7" s="9" t="s">
        <v>21</v>
      </c>
      <c r="AC7" s="9" t="s">
        <v>21</v>
      </c>
      <c r="AD7" s="9" t="s">
        <v>21</v>
      </c>
      <c r="AE7" s="9" t="s">
        <v>21</v>
      </c>
      <c r="AF7" s="9"/>
      <c r="AG7" s="9"/>
      <c r="AH7" s="9"/>
      <c r="AI7" s="9"/>
      <c r="AJ7" s="9"/>
      <c r="AK7" s="9"/>
      <c r="AL7" s="7"/>
      <c r="AM7" s="9" t="s">
        <v>26</v>
      </c>
      <c r="AN7" s="9" t="s">
        <v>27</v>
      </c>
      <c r="AO7" s="9" t="s">
        <v>26</v>
      </c>
      <c r="AP7" s="9" t="s">
        <v>28</v>
      </c>
      <c r="AQ7" s="9"/>
      <c r="AR7" s="9"/>
      <c r="AS7" s="9"/>
      <c r="AT7" s="9"/>
      <c r="AU7" s="9"/>
      <c r="AV7" s="9"/>
      <c r="AX7" s="9" t="s">
        <v>94</v>
      </c>
      <c r="AY7" s="9" t="s">
        <v>95</v>
      </c>
      <c r="AZ7" s="9" t="s">
        <v>96</v>
      </c>
      <c r="BA7" s="9" t="s">
        <v>97</v>
      </c>
      <c r="BB7" s="9"/>
      <c r="BC7" s="9"/>
      <c r="BD7" s="9"/>
      <c r="BE7" s="9"/>
      <c r="BF7" s="9"/>
      <c r="BG7" s="9"/>
    </row>
    <row r="8" spans="1:59" ht="14.6" x14ac:dyDescent="0.4">
      <c r="A8" t="b">
        <f>Table1[[#This Row],[Column1]]=P8</f>
        <v>0</v>
      </c>
      <c r="B8" s="14" t="s">
        <v>126</v>
      </c>
      <c r="C8" s="13" t="str">
        <f t="shared" si="0"/>
        <v>loverinquarantine@gmail.com - M (Boston) - Interests: Music and Space</v>
      </c>
      <c r="D8" s="13" t="str">
        <f t="shared" si="1"/>
        <v>noiceburner@gmail.com - M (New York) - Interests: Cooking, Reading</v>
      </c>
      <c r="E8" s="13" t="str">
        <f t="shared" si="2"/>
        <v>socialdistantdatingisathing@gmail.com - M (Boston) - Interests: Cooking/Restaurants &amp; fitness</v>
      </c>
      <c r="F8" s="13" t="str">
        <f t="shared" si="3"/>
        <v>hillcrest346@gmail.com - M (New York) - Interests: Poker, basketball</v>
      </c>
      <c r="G8" s="13" t="str">
        <f t="shared" si="4"/>
        <v>n.a.</v>
      </c>
      <c r="H8" s="13" t="str">
        <f t="shared" si="5"/>
        <v>n.a.</v>
      </c>
      <c r="I8" s="13" t="str">
        <f t="shared" si="6"/>
        <v>n.a.</v>
      </c>
      <c r="J8" s="13" t="str">
        <f t="shared" si="7"/>
        <v>n.a.</v>
      </c>
      <c r="K8" s="13" t="str">
        <f t="shared" si="8"/>
        <v>n.a.</v>
      </c>
      <c r="L8" s="13" t="str">
        <f t="shared" si="9"/>
        <v>n.a.</v>
      </c>
      <c r="M8" s="13" t="str">
        <f t="shared" si="10"/>
        <v>columbiaquarantina@gmail.com</v>
      </c>
      <c r="O8" t="s">
        <v>33</v>
      </c>
      <c r="P8" t="s">
        <v>145</v>
      </c>
      <c r="Q8" s="16" t="s">
        <v>57</v>
      </c>
      <c r="R8" s="16" t="s">
        <v>64</v>
      </c>
      <c r="S8" s="16" t="s">
        <v>50</v>
      </c>
      <c r="T8" s="16" t="s">
        <v>83</v>
      </c>
      <c r="U8" s="16"/>
      <c r="V8" s="9"/>
      <c r="W8" s="9"/>
      <c r="X8" s="9"/>
      <c r="Y8" s="9"/>
      <c r="Z8" s="9"/>
      <c r="AA8" s="7"/>
      <c r="AB8" s="9" t="s">
        <v>21</v>
      </c>
      <c r="AC8" s="9" t="s">
        <v>21</v>
      </c>
      <c r="AD8" s="9" t="s">
        <v>21</v>
      </c>
      <c r="AE8" s="9" t="s">
        <v>21</v>
      </c>
      <c r="AF8" s="9"/>
      <c r="AG8" s="9"/>
      <c r="AH8" s="9"/>
      <c r="AI8" s="9"/>
      <c r="AJ8" s="9"/>
      <c r="AK8" s="9"/>
      <c r="AL8" s="7"/>
      <c r="AM8" s="9" t="s">
        <v>26</v>
      </c>
      <c r="AN8" s="9" t="s">
        <v>27</v>
      </c>
      <c r="AO8" s="9" t="s">
        <v>26</v>
      </c>
      <c r="AP8" s="9" t="s">
        <v>27</v>
      </c>
      <c r="AQ8" s="9"/>
      <c r="AR8" s="9"/>
      <c r="AS8" s="9"/>
      <c r="AT8" s="9"/>
      <c r="AU8" s="9"/>
      <c r="AV8" s="9"/>
      <c r="AX8" s="9" t="s">
        <v>110</v>
      </c>
      <c r="AY8" s="9" t="s">
        <v>111</v>
      </c>
      <c r="AZ8" s="9" t="s">
        <v>112</v>
      </c>
      <c r="BA8" s="9" t="s">
        <v>113</v>
      </c>
      <c r="BB8" s="9"/>
      <c r="BC8" s="9"/>
      <c r="BD8" s="9"/>
      <c r="BE8" s="9"/>
      <c r="BF8" s="9"/>
      <c r="BG8" s="9"/>
    </row>
    <row r="9" spans="1:59" ht="14.6" x14ac:dyDescent="0.4">
      <c r="A9" t="b">
        <f>Table1[[#This Row],[Column1]]=P9</f>
        <v>0</v>
      </c>
      <c r="B9" s="14" t="s">
        <v>127</v>
      </c>
      <c r="C9" s="13" t="str">
        <f t="shared" si="0"/>
        <v>goblue1422@gmail.com - M (New York) - Interests: Walk in yard, garage gym</v>
      </c>
      <c r="D9" s="13" t="str">
        <f t="shared" si="1"/>
        <v>Kihwoo12@gmail.com - M (New York) - Interests: Wrestling, snowboarding</v>
      </c>
      <c r="E9" s="13" t="str">
        <f t="shared" si="2"/>
        <v>bschoolloveisblind22@gmail.com - M (Boston) - Interests: Spent a month on a tropical island</v>
      </c>
      <c r="F9" s="13" t="str">
        <f t="shared" si="3"/>
        <v>mbanonymous9@gmail.com - M (New York) - Interests: food instagram, play trumpet</v>
      </c>
      <c r="G9" s="13" t="str">
        <f t="shared" si="4"/>
        <v>n.a.</v>
      </c>
      <c r="H9" s="13" t="str">
        <f t="shared" si="5"/>
        <v>n.a.</v>
      </c>
      <c r="I9" s="13" t="str">
        <f t="shared" si="6"/>
        <v>n.a.</v>
      </c>
      <c r="J9" s="13" t="str">
        <f t="shared" si="7"/>
        <v>n.a.</v>
      </c>
      <c r="K9" s="13" t="str">
        <f t="shared" si="8"/>
        <v>n.a.</v>
      </c>
      <c r="L9" s="13" t="str">
        <f t="shared" si="9"/>
        <v>n.a.</v>
      </c>
      <c r="M9" s="13" t="str">
        <f t="shared" si="10"/>
        <v>2020quarantineqt@gmail.com</v>
      </c>
      <c r="O9" t="s">
        <v>30</v>
      </c>
      <c r="P9" t="s">
        <v>146</v>
      </c>
      <c r="Q9" s="16" t="s">
        <v>80</v>
      </c>
      <c r="R9" s="16" t="s">
        <v>68</v>
      </c>
      <c r="S9" s="16" t="s">
        <v>49</v>
      </c>
      <c r="T9" s="16" t="s">
        <v>79</v>
      </c>
      <c r="U9" s="16"/>
      <c r="V9" s="10"/>
      <c r="W9" s="10"/>
      <c r="X9" s="10"/>
      <c r="Y9" s="10"/>
      <c r="Z9" s="10"/>
      <c r="AA9" s="8"/>
      <c r="AB9" s="9" t="s">
        <v>21</v>
      </c>
      <c r="AC9" s="9" t="s">
        <v>21</v>
      </c>
      <c r="AD9" s="9" t="s">
        <v>21</v>
      </c>
      <c r="AE9" s="9" t="s">
        <v>21</v>
      </c>
      <c r="AF9" s="9"/>
      <c r="AG9" s="9"/>
      <c r="AH9" s="10"/>
      <c r="AI9" s="10"/>
      <c r="AJ9" s="10"/>
      <c r="AK9" s="10"/>
      <c r="AM9" s="10" t="s">
        <v>27</v>
      </c>
      <c r="AN9" s="10" t="s">
        <v>27</v>
      </c>
      <c r="AO9" s="10" t="s">
        <v>26</v>
      </c>
      <c r="AP9" s="10" t="s">
        <v>27</v>
      </c>
      <c r="AQ9" s="10"/>
      <c r="AR9" s="10"/>
      <c r="AS9" s="10"/>
      <c r="AT9" s="10"/>
      <c r="AU9" s="9"/>
      <c r="AV9" s="9"/>
      <c r="AX9" s="10" t="s">
        <v>117</v>
      </c>
      <c r="AY9" s="10" t="s">
        <v>118</v>
      </c>
      <c r="AZ9" s="10" t="s">
        <v>119</v>
      </c>
      <c r="BA9" s="10" t="s">
        <v>120</v>
      </c>
      <c r="BB9" s="10"/>
      <c r="BC9" s="10"/>
      <c r="BD9" s="10"/>
      <c r="BE9" s="10"/>
      <c r="BF9" s="9"/>
      <c r="BG9" s="9"/>
    </row>
    <row r="10" spans="1:59" ht="14.6" x14ac:dyDescent="0.4">
      <c r="A10" t="b">
        <f>Table1[[#This Row],[Column1]]=P10</f>
        <v>0</v>
      </c>
      <c r="B10" s="14" t="s">
        <v>128</v>
      </c>
      <c r="C10" s="13" t="str">
        <f t="shared" si="0"/>
        <v>coronacuff@gmail.com - M (Boston) - Interests: Playing Guitar / Singing, Trying Breweries</v>
      </c>
      <c r="D10" s="13" t="str">
        <f t="shared" si="1"/>
        <v>mbasorosken030@gmail.com - M (Philadelphia) - Interests: Marathon Running, Global Travel</v>
      </c>
      <c r="E10" s="13" t="str">
        <f t="shared" si="2"/>
        <v>theganggetsquarantined@gmail.com - M (Boston) - Interests: art music</v>
      </c>
      <c r="F10" s="13" t="str">
        <f t="shared" si="3"/>
        <v>wewillsurvive.202021@gmail.com - M (New York) - Interests: Adventure sports, MCU fan</v>
      </c>
      <c r="G10" s="13" t="str">
        <f t="shared" si="4"/>
        <v>n.a.</v>
      </c>
      <c r="H10" s="13" t="str">
        <f t="shared" si="5"/>
        <v>n.a.</v>
      </c>
      <c r="I10" s="13" t="str">
        <f t="shared" si="6"/>
        <v>n.a.</v>
      </c>
      <c r="J10" s="13" t="str">
        <f t="shared" si="7"/>
        <v>n.a.</v>
      </c>
      <c r="K10" s="13" t="str">
        <f t="shared" si="8"/>
        <v>n.a.</v>
      </c>
      <c r="L10" s="13" t="str">
        <f t="shared" si="9"/>
        <v>n.a.</v>
      </c>
      <c r="M10" s="13" t="str">
        <f t="shared" si="10"/>
        <v>Itr11iris@gmail.com</v>
      </c>
      <c r="O10" t="s">
        <v>42</v>
      </c>
      <c r="P10" t="s">
        <v>147</v>
      </c>
      <c r="Q10" s="16" t="s">
        <v>54</v>
      </c>
      <c r="R10" s="16" t="s">
        <v>58</v>
      </c>
      <c r="S10" s="16" t="s">
        <v>55</v>
      </c>
      <c r="T10" s="16" t="s">
        <v>62</v>
      </c>
      <c r="U10" s="16"/>
      <c r="V10" s="10"/>
      <c r="W10" s="10"/>
      <c r="X10" s="10"/>
      <c r="Y10" s="10"/>
      <c r="Z10" s="10"/>
      <c r="AA10" s="8"/>
      <c r="AB10" s="9" t="s">
        <v>21</v>
      </c>
      <c r="AC10" s="9" t="s">
        <v>21</v>
      </c>
      <c r="AD10" s="9" t="s">
        <v>21</v>
      </c>
      <c r="AE10" s="9" t="s">
        <v>21</v>
      </c>
      <c r="AF10" s="9"/>
      <c r="AG10" s="11"/>
      <c r="AH10" s="10"/>
      <c r="AI10" s="10"/>
      <c r="AJ10" s="10"/>
      <c r="AK10" s="10"/>
      <c r="AM10" s="10" t="s">
        <v>26</v>
      </c>
      <c r="AN10" s="10" t="s">
        <v>28</v>
      </c>
      <c r="AO10" s="10" t="s">
        <v>26</v>
      </c>
      <c r="AP10" s="10" t="s">
        <v>27</v>
      </c>
      <c r="AQ10" s="10"/>
      <c r="AR10" s="10"/>
      <c r="AS10" s="10"/>
      <c r="AT10" s="10"/>
      <c r="AU10" s="10"/>
      <c r="AV10" s="10"/>
      <c r="AX10" s="10" t="s">
        <v>102</v>
      </c>
      <c r="AY10" s="10" t="s">
        <v>103</v>
      </c>
      <c r="AZ10" s="10" t="s">
        <v>104</v>
      </c>
      <c r="BA10" s="10" t="s">
        <v>105</v>
      </c>
      <c r="BB10" s="10"/>
      <c r="BC10" s="10"/>
      <c r="BD10" s="10"/>
      <c r="BE10" s="10"/>
      <c r="BF10" s="10"/>
      <c r="BG10" s="10"/>
    </row>
    <row r="11" spans="1:59" ht="14.6" x14ac:dyDescent="0.4">
      <c r="A11" t="b">
        <f>Table1[[#This Row],[Column1]]=P11</f>
        <v>0</v>
      </c>
      <c r="B11" s="14" t="s">
        <v>129</v>
      </c>
      <c r="C11" s="13" t="str">
        <f t="shared" si="0"/>
        <v>travel.read.game@gmail.com - M (Washington DC) - Interests: Playing tennis and world traveling!</v>
      </c>
      <c r="D11" s="13" t="str">
        <f t="shared" si="1"/>
        <v>buccooreef868@gmail.com - M (New York) - Interests: Fencing, Photography</v>
      </c>
      <c r="E11" s="13" t="str">
        <f t="shared" si="2"/>
        <v>mischiefmanaged1910@gmail.com - M (New York) - Interests: Kite-surfing, diving, jumping in the rain</v>
      </c>
      <c r="F11" s="13" t="str">
        <f t="shared" si="3"/>
        <v>contact@artifactnewyork.com - M (New York) - Interests: Clothing/vintage + sports</v>
      </c>
      <c r="G11" s="13" t="str">
        <f t="shared" si="4"/>
        <v>n.a.</v>
      </c>
      <c r="H11" s="13" t="str">
        <f t="shared" si="5"/>
        <v>n.a.</v>
      </c>
      <c r="I11" s="13" t="str">
        <f t="shared" si="6"/>
        <v>n.a.</v>
      </c>
      <c r="J11" s="13" t="str">
        <f t="shared" si="7"/>
        <v>n.a.</v>
      </c>
      <c r="K11" s="13" t="str">
        <f t="shared" si="8"/>
        <v>n.a.</v>
      </c>
      <c r="L11" s="13" t="str">
        <f t="shared" si="9"/>
        <v>n.a.</v>
      </c>
      <c r="M11" s="13" t="str">
        <f t="shared" si="10"/>
        <v>saerlea2020@gmail.com</v>
      </c>
      <c r="O11" t="s">
        <v>44</v>
      </c>
      <c r="P11" t="s">
        <v>148</v>
      </c>
      <c r="Q11" s="16" t="s">
        <v>61</v>
      </c>
      <c r="R11" s="16" t="s">
        <v>75</v>
      </c>
      <c r="S11" s="16" t="s">
        <v>82</v>
      </c>
      <c r="T11" s="16" t="s">
        <v>72</v>
      </c>
      <c r="U11" s="16"/>
      <c r="V11" s="10"/>
      <c r="W11" s="10"/>
      <c r="X11" s="10"/>
      <c r="Y11" s="10"/>
      <c r="Z11" s="10"/>
      <c r="AA11" s="8"/>
      <c r="AB11" s="9" t="s">
        <v>21</v>
      </c>
      <c r="AC11" s="9" t="s">
        <v>21</v>
      </c>
      <c r="AD11" s="9" t="s">
        <v>21</v>
      </c>
      <c r="AE11" s="9" t="s">
        <v>21</v>
      </c>
      <c r="AF11" s="9"/>
      <c r="AG11" s="9"/>
      <c r="AH11" s="10"/>
      <c r="AI11" s="10"/>
      <c r="AJ11" s="10"/>
      <c r="AK11" s="10"/>
      <c r="AM11" s="10" t="s">
        <v>71</v>
      </c>
      <c r="AN11" s="10" t="s">
        <v>27</v>
      </c>
      <c r="AO11" s="10" t="s">
        <v>27</v>
      </c>
      <c r="AP11" s="10" t="s">
        <v>27</v>
      </c>
      <c r="AQ11" s="10"/>
      <c r="AR11" s="10"/>
      <c r="AS11" s="10"/>
      <c r="AT11" s="10"/>
      <c r="AU11" s="10"/>
      <c r="AV11" s="10"/>
      <c r="AX11" s="10" t="s">
        <v>89</v>
      </c>
      <c r="AY11" s="10" t="s">
        <v>90</v>
      </c>
      <c r="AZ11" s="11" t="s">
        <v>91</v>
      </c>
      <c r="BA11" s="10" t="s">
        <v>92</v>
      </c>
      <c r="BB11" s="10"/>
      <c r="BC11" s="10"/>
      <c r="BD11" s="10"/>
      <c r="BE11" s="10"/>
      <c r="BF11" s="10"/>
      <c r="BG11" s="10"/>
    </row>
    <row r="12" spans="1:59" ht="14.6" x14ac:dyDescent="0.4">
      <c r="A12" t="b">
        <f>Table1[[#This Row],[Column1]]=P12</f>
        <v>0</v>
      </c>
      <c r="B12" s="14" t="s">
        <v>130</v>
      </c>
      <c r="C12" s="13" t="str">
        <f t="shared" si="0"/>
        <v>southernchallah@gmail.com - M (New York) - Interests: Road-tripping and laughing</v>
      </c>
      <c r="D12" s="13" t="str">
        <f t="shared" si="1"/>
        <v>Brooklyntohanover@gmail.com - M (New York) - Interests: Cooking and spin class</v>
      </c>
      <c r="E12" s="13" t="str">
        <f t="shared" si="2"/>
        <v>blindbard25@gmail.com - M (New York) - Interests: Tattoos &amp; singing rock music</v>
      </c>
      <c r="F12" s="13" t="str">
        <f t="shared" si="3"/>
        <v>mrsocialdistance@gmail.com - M (Boston) - Interests: Outdoors, podcasts, travel, keeping in touch</v>
      </c>
      <c r="G12" s="13" t="str">
        <f t="shared" si="4"/>
        <v>n.a.</v>
      </c>
      <c r="H12" s="13" t="str">
        <f t="shared" si="5"/>
        <v>n.a.</v>
      </c>
      <c r="I12" s="13" t="str">
        <f t="shared" si="6"/>
        <v>n.a.</v>
      </c>
      <c r="J12" s="13" t="str">
        <f t="shared" si="7"/>
        <v>n.a.</v>
      </c>
      <c r="K12" s="13" t="str">
        <f t="shared" si="8"/>
        <v>n.a.</v>
      </c>
      <c r="L12" s="13" t="str">
        <f t="shared" si="9"/>
        <v>n.a.</v>
      </c>
      <c r="M12" s="13" t="str">
        <f t="shared" si="10"/>
        <v>grkn2519@gmail.com</v>
      </c>
      <c r="O12" t="s">
        <v>36</v>
      </c>
      <c r="P12" t="s">
        <v>142</v>
      </c>
      <c r="Q12" s="16" t="s">
        <v>78</v>
      </c>
      <c r="R12" s="16" t="s">
        <v>76</v>
      </c>
      <c r="S12" s="16" t="s">
        <v>70</v>
      </c>
      <c r="T12" s="16" t="s">
        <v>52</v>
      </c>
      <c r="U12" s="16"/>
      <c r="V12" s="10"/>
      <c r="W12" s="10"/>
      <c r="X12" s="10"/>
      <c r="Y12" s="10"/>
      <c r="Z12" s="10"/>
      <c r="AA12" s="8"/>
      <c r="AB12" s="9" t="s">
        <v>21</v>
      </c>
      <c r="AC12" s="9" t="s">
        <v>21</v>
      </c>
      <c r="AD12" s="9" t="s">
        <v>21</v>
      </c>
      <c r="AE12" s="9" t="s">
        <v>21</v>
      </c>
      <c r="AF12" s="9"/>
      <c r="AG12" s="9"/>
      <c r="AH12" s="10"/>
      <c r="AI12" s="10"/>
      <c r="AJ12" s="10"/>
      <c r="AK12" s="10"/>
      <c r="AM12" s="10" t="s">
        <v>27</v>
      </c>
      <c r="AN12" s="10" t="s">
        <v>27</v>
      </c>
      <c r="AO12" s="10" t="s">
        <v>27</v>
      </c>
      <c r="AP12" s="10" t="s">
        <v>26</v>
      </c>
      <c r="AQ12" s="10"/>
      <c r="AR12" s="10"/>
      <c r="AS12" s="10"/>
      <c r="AT12" s="10"/>
      <c r="AU12" s="10"/>
      <c r="AV12" s="10"/>
      <c r="AX12" s="10" t="s">
        <v>106</v>
      </c>
      <c r="AY12" s="10" t="s">
        <v>107</v>
      </c>
      <c r="AZ12" s="10" t="s">
        <v>108</v>
      </c>
      <c r="BA12" s="10" t="s">
        <v>109</v>
      </c>
      <c r="BB12" s="10"/>
      <c r="BC12" s="10"/>
      <c r="BD12" s="10"/>
      <c r="BE12" s="10"/>
      <c r="BF12" s="10"/>
      <c r="BG12" s="10"/>
    </row>
    <row r="13" spans="1:59" ht="14.6" x14ac:dyDescent="0.4">
      <c r="A13" t="b">
        <f>Table1[[#This Row],[Column1]]=P13</f>
        <v>0</v>
      </c>
      <c r="B13" s="14" t="s">
        <v>131</v>
      </c>
      <c r="C13" s="13" t="str">
        <f t="shared" si="0"/>
        <v>alltheeggsinonebasket3@gmail.com - M (New York) - Interests: Sports and cooking</v>
      </c>
      <c r="D13" s="13" t="str">
        <f t="shared" si="1"/>
        <v>thejerkyman@gmail.com - M (Boston) - Interests: Sailing, Hiking</v>
      </c>
      <c r="E13" s="13" t="str">
        <f t="shared" si="2"/>
        <v>Harvardcollegeadmissions@gmail.com - M (New York) - Interests: Poker, yoga</v>
      </c>
      <c r="F13" s="13" t="str">
        <f t="shared" si="3"/>
        <v>proxymoronicking@gmail.com - M (Boston) - Interests: Networking' &amp; Being Sarcastic</v>
      </c>
      <c r="G13" s="13" t="str">
        <f t="shared" si="4"/>
        <v>n.a.</v>
      </c>
      <c r="H13" s="13" t="str">
        <f t="shared" si="5"/>
        <v>n.a.</v>
      </c>
      <c r="I13" s="13" t="str">
        <f t="shared" si="6"/>
        <v>n.a.</v>
      </c>
      <c r="J13" s="13" t="str">
        <f t="shared" si="7"/>
        <v>n.a.</v>
      </c>
      <c r="K13" s="13" t="str">
        <f t="shared" si="8"/>
        <v>n.a.</v>
      </c>
      <c r="L13" s="13" t="str">
        <f t="shared" si="9"/>
        <v>n.a.</v>
      </c>
      <c r="M13" s="13" t="str">
        <f t="shared" si="10"/>
        <v>peacelovesanitizerwaves@gmail.com</v>
      </c>
      <c r="O13" t="s">
        <v>29</v>
      </c>
      <c r="P13" t="s">
        <v>145</v>
      </c>
      <c r="Q13" s="16" t="s">
        <v>81</v>
      </c>
      <c r="R13" s="16" t="s">
        <v>51</v>
      </c>
      <c r="S13" s="16" t="s">
        <v>65</v>
      </c>
      <c r="T13" s="16" t="s">
        <v>48</v>
      </c>
      <c r="U13" s="16"/>
      <c r="V13" s="10"/>
      <c r="W13" s="10"/>
      <c r="X13" s="10"/>
      <c r="Y13" s="10"/>
      <c r="Z13" s="10"/>
      <c r="AA13" s="8"/>
      <c r="AB13" s="9" t="s">
        <v>21</v>
      </c>
      <c r="AC13" s="9" t="s">
        <v>21</v>
      </c>
      <c r="AD13" s="9" t="s">
        <v>21</v>
      </c>
      <c r="AE13" s="9" t="s">
        <v>21</v>
      </c>
      <c r="AF13" s="9"/>
      <c r="AG13" s="9"/>
      <c r="AH13" s="10"/>
      <c r="AI13" s="10"/>
      <c r="AJ13" s="10"/>
      <c r="AK13" s="10"/>
      <c r="AM13" s="10" t="s">
        <v>27</v>
      </c>
      <c r="AN13" s="10" t="s">
        <v>26</v>
      </c>
      <c r="AO13" s="10" t="s">
        <v>27</v>
      </c>
      <c r="AP13" s="10" t="s">
        <v>26</v>
      </c>
      <c r="AQ13" s="10"/>
      <c r="AR13" s="10"/>
      <c r="AS13" s="10"/>
      <c r="AT13" s="10"/>
      <c r="AU13" s="10"/>
      <c r="AV13" s="10"/>
      <c r="AX13" s="10" t="s">
        <v>114</v>
      </c>
      <c r="AY13" s="10" t="s">
        <v>115</v>
      </c>
      <c r="AZ13" s="10" t="s">
        <v>116</v>
      </c>
      <c r="BA13" s="10" t="s">
        <v>93</v>
      </c>
      <c r="BB13" s="10"/>
      <c r="BC13" s="10"/>
      <c r="BD13" s="10"/>
      <c r="BE13" s="10"/>
      <c r="BF13" s="10"/>
      <c r="BG13" s="10"/>
    </row>
    <row r="14" spans="1:59" ht="14.6" x14ac:dyDescent="0.4">
      <c r="A14" t="b">
        <f>Table1[[#This Row],[Column1]]=P14</f>
        <v>0</v>
      </c>
      <c r="B14" s="14" t="s">
        <v>132</v>
      </c>
      <c r="C14" s="13" t="str">
        <f t="shared" si="0"/>
        <v>Kryptosav@gmail.com - M (Boston) - Interests: Reading non-fiction and baking</v>
      </c>
      <c r="D14" s="13" t="str">
        <f t="shared" si="1"/>
        <v>clersaye@gmail.com - M (New York) - Interests: Playing piano, breakfast</v>
      </c>
      <c r="E14" s="13" t="str">
        <f t="shared" si="2"/>
        <v>philaustintexas@gmail.com - M (Boston) - Interests: rock music and surfing</v>
      </c>
      <c r="F14" s="13" t="str">
        <f t="shared" si="3"/>
        <v>VernickOnMyMind@gmail.com - M (Philadelphia) - Interests: Restaurants / Bars, Cycling</v>
      </c>
      <c r="G14" s="13" t="str">
        <f t="shared" si="4"/>
        <v>n.a.</v>
      </c>
      <c r="H14" s="13" t="str">
        <f t="shared" si="5"/>
        <v>n.a.</v>
      </c>
      <c r="I14" s="13" t="str">
        <f t="shared" si="6"/>
        <v>n.a.</v>
      </c>
      <c r="J14" s="13" t="str">
        <f t="shared" si="7"/>
        <v>n.a.</v>
      </c>
      <c r="K14" s="13" t="str">
        <f t="shared" si="8"/>
        <v>n.a.</v>
      </c>
      <c r="L14" s="13" t="str">
        <f t="shared" si="9"/>
        <v>n.a.</v>
      </c>
      <c r="M14" s="13" t="str">
        <f t="shared" si="10"/>
        <v>lastminutegirl588@gmail.com</v>
      </c>
      <c r="O14" t="s">
        <v>37</v>
      </c>
      <c r="P14" t="s">
        <v>142</v>
      </c>
      <c r="Q14" s="16" t="s">
        <v>53</v>
      </c>
      <c r="R14" s="16" t="s">
        <v>77</v>
      </c>
      <c r="S14" s="16" t="s">
        <v>56</v>
      </c>
      <c r="T14" s="16" t="s">
        <v>60</v>
      </c>
      <c r="U14" s="16"/>
      <c r="V14" s="10"/>
      <c r="W14" s="10"/>
      <c r="X14" s="10"/>
      <c r="Y14" s="10"/>
      <c r="Z14" s="10"/>
      <c r="AA14" s="8"/>
      <c r="AB14" s="9" t="s">
        <v>21</v>
      </c>
      <c r="AC14" s="9" t="s">
        <v>21</v>
      </c>
      <c r="AD14" s="9" t="s">
        <v>21</v>
      </c>
      <c r="AE14" s="9" t="s">
        <v>21</v>
      </c>
      <c r="AF14" s="9"/>
      <c r="AG14" s="9"/>
      <c r="AH14" s="10"/>
      <c r="AI14" s="10"/>
      <c r="AJ14" s="10"/>
      <c r="AK14" s="10"/>
      <c r="AM14" s="10" t="s">
        <v>26</v>
      </c>
      <c r="AN14" s="10" t="s">
        <v>27</v>
      </c>
      <c r="AO14" s="10" t="s">
        <v>26</v>
      </c>
      <c r="AP14" s="10" t="s">
        <v>28</v>
      </c>
      <c r="AQ14" s="10"/>
      <c r="AR14" s="10"/>
      <c r="AS14" s="10"/>
      <c r="AT14" s="10"/>
      <c r="AU14" s="10"/>
      <c r="AV14" s="10"/>
      <c r="AX14" s="10" t="s">
        <v>94</v>
      </c>
      <c r="AY14" s="10" t="s">
        <v>95</v>
      </c>
      <c r="AZ14" s="10" t="s">
        <v>96</v>
      </c>
      <c r="BA14" s="10" t="s">
        <v>97</v>
      </c>
      <c r="BB14" s="10"/>
      <c r="BC14" s="10"/>
      <c r="BD14" s="10"/>
      <c r="BE14" s="10"/>
      <c r="BF14" s="10"/>
      <c r="BG14" s="10"/>
    </row>
    <row r="15" spans="1:59" ht="14.6" x14ac:dyDescent="0.4">
      <c r="A15" t="b">
        <f>Table1[[#This Row],[Column1]]=P15</f>
        <v>0</v>
      </c>
      <c r="B15" s="14" t="s">
        <v>133</v>
      </c>
      <c r="C15" s="13" t="str">
        <f t="shared" si="0"/>
        <v>omlettedufromage92@gmail.com - M (New York) - Interests: Skiing, Hiking</v>
      </c>
      <c r="D15" s="13" t="str">
        <f t="shared" si="1"/>
        <v>mbaquar123@gmail.com - M (New York) - Interests: Cooking and working out (sounds lame)</v>
      </c>
      <c r="E15" s="13" t="str">
        <f t="shared" si="2"/>
        <v>digitalcricket00@gmail.com - M (Philadelphia) - Interests: Food anthropology shows, the ocean</v>
      </c>
      <c r="F15" s="13" t="str">
        <f t="shared" si="3"/>
        <v>isloveblind987@gmail.com - M (New York) - Interests: foodgramming poker</v>
      </c>
      <c r="G15" s="13" t="str">
        <f t="shared" si="4"/>
        <v>n.a.</v>
      </c>
      <c r="H15" s="13" t="str">
        <f t="shared" si="5"/>
        <v>n.a.</v>
      </c>
      <c r="I15" s="13" t="str">
        <f t="shared" si="6"/>
        <v>n.a.</v>
      </c>
      <c r="J15" s="13" t="str">
        <f t="shared" si="7"/>
        <v>n.a.</v>
      </c>
      <c r="K15" s="13" t="str">
        <f t="shared" si="8"/>
        <v>n.a.</v>
      </c>
      <c r="L15" s="13" t="str">
        <f t="shared" si="9"/>
        <v>n.a.</v>
      </c>
      <c r="M15" s="13" t="str">
        <f t="shared" si="10"/>
        <v>Tennisluvr08@gmail.com</v>
      </c>
      <c r="O15" t="s">
        <v>43</v>
      </c>
      <c r="P15" t="s">
        <v>149</v>
      </c>
      <c r="Q15" s="16" t="s">
        <v>74</v>
      </c>
      <c r="R15" s="16" t="s">
        <v>84</v>
      </c>
      <c r="S15" s="16" t="s">
        <v>59</v>
      </c>
      <c r="T15" s="16" t="s">
        <v>69</v>
      </c>
      <c r="U15" s="16"/>
      <c r="V15" s="10"/>
      <c r="W15" s="10"/>
      <c r="X15" s="10"/>
      <c r="Y15" s="10"/>
      <c r="Z15" s="10"/>
      <c r="AA15" s="8"/>
      <c r="AB15" s="9" t="s">
        <v>21</v>
      </c>
      <c r="AC15" s="9" t="s">
        <v>21</v>
      </c>
      <c r="AD15" s="9" t="s">
        <v>21</v>
      </c>
      <c r="AE15" s="9" t="s">
        <v>21</v>
      </c>
      <c r="AF15" s="9"/>
      <c r="AG15" s="11"/>
      <c r="AH15" s="10"/>
      <c r="AI15" s="10"/>
      <c r="AJ15" s="10"/>
      <c r="AK15" s="10"/>
      <c r="AM15" s="10" t="s">
        <v>27</v>
      </c>
      <c r="AN15" s="10" t="s">
        <v>27</v>
      </c>
      <c r="AO15" s="10" t="s">
        <v>28</v>
      </c>
      <c r="AP15" s="10" t="s">
        <v>27</v>
      </c>
      <c r="AQ15" s="10"/>
      <c r="AR15" s="10"/>
      <c r="AS15" s="10"/>
      <c r="AT15" s="10"/>
      <c r="AU15" s="10"/>
      <c r="AV15" s="10"/>
      <c r="AX15" s="10" t="s">
        <v>85</v>
      </c>
      <c r="AY15" s="10" t="s">
        <v>86</v>
      </c>
      <c r="AZ15" s="10" t="s">
        <v>87</v>
      </c>
      <c r="BA15" s="10" t="s">
        <v>88</v>
      </c>
      <c r="BB15" s="10"/>
      <c r="BC15" s="10"/>
      <c r="BD15" s="10"/>
      <c r="BE15" s="10"/>
      <c r="BF15" s="10"/>
      <c r="BG15" s="10"/>
    </row>
    <row r="16" spans="1:59" ht="14.6" x14ac:dyDescent="0.4">
      <c r="A16" t="b">
        <f>Table1[[#This Row],[Column1]]=P16</f>
        <v>0</v>
      </c>
      <c r="B16" s="14" t="s">
        <v>134</v>
      </c>
      <c r="C16" s="13" t="str">
        <f t="shared" si="0"/>
        <v>wkddhks7000@gmail.com - M (New York) - Interests: playing guitar and cooking</v>
      </c>
      <c r="D16" s="13" t="str">
        <f t="shared" si="1"/>
        <v>nycountingcalories@gmail.com - M (New York) - Interests: Travel (57 countries!), Foodie (ask about restaurants!)</v>
      </c>
      <c r="E16" s="13" t="str">
        <f t="shared" si="2"/>
        <v>Freecashflow21@gmail.com - M (New York) - Interests: I DJ, My hips don’t lie</v>
      </c>
      <c r="F16" s="13" t="str">
        <f t="shared" si="3"/>
        <v>Pigeonsrule91@gmail.com - M (New York) - Interests: stand up comedian and pun maker</v>
      </c>
      <c r="G16" s="13" t="str">
        <f t="shared" si="4"/>
        <v>n.a.</v>
      </c>
      <c r="H16" s="13" t="str">
        <f t="shared" si="5"/>
        <v>n.a.</v>
      </c>
      <c r="I16" s="13" t="str">
        <f t="shared" si="6"/>
        <v>n.a.</v>
      </c>
      <c r="J16" s="13" t="str">
        <f t="shared" si="7"/>
        <v>n.a.</v>
      </c>
      <c r="K16" s="13" t="str">
        <f t="shared" si="8"/>
        <v>n.a.</v>
      </c>
      <c r="L16" s="13" t="str">
        <f t="shared" si="9"/>
        <v>n.a.</v>
      </c>
      <c r="M16" s="13" t="str">
        <f t="shared" si="10"/>
        <v>kuddlingkoala@gmail.com</v>
      </c>
      <c r="O16" t="s">
        <v>46</v>
      </c>
      <c r="P16" t="s">
        <v>150</v>
      </c>
      <c r="Q16" s="16" t="s">
        <v>66</v>
      </c>
      <c r="R16" s="16" t="s">
        <v>63</v>
      </c>
      <c r="S16" s="16" t="s">
        <v>73</v>
      </c>
      <c r="T16" s="16" t="s">
        <v>67</v>
      </c>
      <c r="U16" s="16"/>
      <c r="V16" s="10"/>
      <c r="W16" s="10"/>
      <c r="X16" s="10"/>
      <c r="Y16" s="10"/>
      <c r="Z16" s="10"/>
      <c r="AA16" s="8"/>
      <c r="AB16" s="9" t="s">
        <v>21</v>
      </c>
      <c r="AC16" s="9" t="s">
        <v>21</v>
      </c>
      <c r="AD16" s="9" t="s">
        <v>21</v>
      </c>
      <c r="AE16" s="9" t="s">
        <v>21</v>
      </c>
      <c r="AF16" s="9"/>
      <c r="AG16" s="11"/>
      <c r="AH16" s="10"/>
      <c r="AI16" s="10"/>
      <c r="AJ16" s="10"/>
      <c r="AK16" s="10"/>
      <c r="AM16" s="10" t="s">
        <v>27</v>
      </c>
      <c r="AN16" s="10" t="s">
        <v>27</v>
      </c>
      <c r="AO16" s="10" t="s">
        <v>27</v>
      </c>
      <c r="AP16" s="10" t="s">
        <v>27</v>
      </c>
      <c r="AQ16" s="10"/>
      <c r="AR16" s="10"/>
      <c r="AS16" s="10"/>
      <c r="AT16" s="10"/>
      <c r="AU16" s="10"/>
      <c r="AV16" s="10"/>
      <c r="AX16" s="10" t="s">
        <v>98</v>
      </c>
      <c r="AY16" s="10" t="s">
        <v>99</v>
      </c>
      <c r="AZ16" s="10" t="s">
        <v>100</v>
      </c>
      <c r="BA16" s="10" t="s">
        <v>101</v>
      </c>
      <c r="BB16" s="10"/>
      <c r="BC16" s="10"/>
      <c r="BD16" s="10"/>
      <c r="BE16" s="10"/>
      <c r="BF16" s="10"/>
      <c r="BG16" s="10"/>
    </row>
    <row r="17" spans="1:59" ht="14.6" x14ac:dyDescent="0.4">
      <c r="A17" t="b">
        <f>Table1[[#This Row],[Column1]]=P17</f>
        <v>0</v>
      </c>
      <c r="B17" s="14" t="s">
        <v>135</v>
      </c>
      <c r="C17" s="13" t="str">
        <f t="shared" si="0"/>
        <v>coronacuff@gmail.com - M (Boston) - Interests: Playing Guitar / Singing, Trying Breweries</v>
      </c>
      <c r="D17" s="13" t="str">
        <f t="shared" si="1"/>
        <v>mbasorosken030@gmail.com - M (Philadelphia) - Interests: Marathon Running, Global Travel</v>
      </c>
      <c r="E17" s="13" t="str">
        <f t="shared" si="2"/>
        <v>theganggetsquarantined@gmail.com - M (Boston) - Interests: art music</v>
      </c>
      <c r="F17" s="13" t="str">
        <f t="shared" si="3"/>
        <v>wewillsurvive.202021@gmail.com - M (New York) - Interests: Adventure sports, MCU fan</v>
      </c>
      <c r="G17" s="13" t="str">
        <f t="shared" si="4"/>
        <v>n.a.</v>
      </c>
      <c r="H17" s="13" t="str">
        <f t="shared" si="5"/>
        <v>n.a.</v>
      </c>
      <c r="I17" s="13" t="str">
        <f t="shared" si="6"/>
        <v>n.a.</v>
      </c>
      <c r="J17" s="13" t="str">
        <f t="shared" si="7"/>
        <v>n.a.</v>
      </c>
      <c r="K17" s="13" t="str">
        <f t="shared" si="8"/>
        <v>n.a.</v>
      </c>
      <c r="L17" s="13" t="str">
        <f t="shared" si="9"/>
        <v>n.a.</v>
      </c>
      <c r="M17" s="13" t="str">
        <f t="shared" si="10"/>
        <v>curlyqlox333@gmail.com</v>
      </c>
      <c r="O17" t="s">
        <v>40</v>
      </c>
      <c r="P17" t="s">
        <v>151</v>
      </c>
      <c r="Q17" s="16" t="s">
        <v>54</v>
      </c>
      <c r="R17" s="16" t="s">
        <v>58</v>
      </c>
      <c r="S17" s="16" t="s">
        <v>55</v>
      </c>
      <c r="T17" s="16" t="s">
        <v>62</v>
      </c>
      <c r="U17" s="16"/>
      <c r="V17" s="10"/>
      <c r="W17" s="10"/>
      <c r="X17" s="10"/>
      <c r="Y17" s="10"/>
      <c r="Z17" s="10"/>
      <c r="AA17" s="8"/>
      <c r="AB17" s="9" t="s">
        <v>21</v>
      </c>
      <c r="AC17" s="9" t="s">
        <v>21</v>
      </c>
      <c r="AD17" s="9" t="s">
        <v>21</v>
      </c>
      <c r="AE17" s="9" t="s">
        <v>21</v>
      </c>
      <c r="AF17" s="9"/>
      <c r="AG17" s="9"/>
      <c r="AH17" s="10"/>
      <c r="AI17" s="10"/>
      <c r="AJ17" s="10"/>
      <c r="AK17" s="10"/>
      <c r="AM17" s="10" t="s">
        <v>26</v>
      </c>
      <c r="AN17" s="10" t="s">
        <v>28</v>
      </c>
      <c r="AO17" s="10" t="s">
        <v>26</v>
      </c>
      <c r="AP17" s="10" t="s">
        <v>27</v>
      </c>
      <c r="AQ17" s="10"/>
      <c r="AR17" s="10"/>
      <c r="AS17" s="10"/>
      <c r="AT17" s="10"/>
      <c r="AU17" s="10"/>
      <c r="AV17" s="10"/>
      <c r="AX17" s="10" t="s">
        <v>102</v>
      </c>
      <c r="AY17" s="10" t="s">
        <v>103</v>
      </c>
      <c r="AZ17" s="10" t="s">
        <v>104</v>
      </c>
      <c r="BA17" s="10" t="s">
        <v>105</v>
      </c>
      <c r="BB17" s="10"/>
      <c r="BC17" s="10"/>
      <c r="BD17" s="10"/>
      <c r="BE17" s="10"/>
      <c r="BF17" s="10"/>
      <c r="BG17" s="10"/>
    </row>
    <row r="18" spans="1:59" ht="14.6" x14ac:dyDescent="0.4">
      <c r="A18" t="b">
        <f>Table1[[#This Row],[Column1]]=P18</f>
        <v>0</v>
      </c>
      <c r="B18" s="14" t="s">
        <v>136</v>
      </c>
      <c r="C18" s="13" t="str">
        <f t="shared" si="0"/>
        <v>loverinquarantine@gmail.com - M (Boston) - Interests: Music and Space</v>
      </c>
      <c r="D18" s="13" t="str">
        <f t="shared" si="1"/>
        <v>noiceburner@gmail.com - M (New York) - Interests: Cooking, Reading</v>
      </c>
      <c r="E18" s="13" t="str">
        <f t="shared" si="2"/>
        <v>socialdistantdatingisathing@gmail.com - M (Boston) - Interests: Cooking/Restaurants &amp; fitness</v>
      </c>
      <c r="F18" s="13" t="str">
        <f t="shared" si="3"/>
        <v>hillcrest346@gmail.com - M (New York) - Interests: Poker, basketball</v>
      </c>
      <c r="G18" s="13" t="str">
        <f t="shared" si="4"/>
        <v>n.a.</v>
      </c>
      <c r="H18" s="13" t="str">
        <f t="shared" si="5"/>
        <v>n.a.</v>
      </c>
      <c r="I18" s="13" t="str">
        <f t="shared" si="6"/>
        <v>n.a.</v>
      </c>
      <c r="J18" s="13" t="str">
        <f t="shared" si="7"/>
        <v>n.a.</v>
      </c>
      <c r="K18" s="13" t="str">
        <f t="shared" si="8"/>
        <v>n.a.</v>
      </c>
      <c r="L18" s="13" t="str">
        <f t="shared" si="9"/>
        <v>n.a.</v>
      </c>
      <c r="M18" s="13" t="str">
        <f t="shared" si="10"/>
        <v>g604yzzntt@gmail.com</v>
      </c>
      <c r="O18" t="s">
        <v>34</v>
      </c>
      <c r="P18" t="s">
        <v>142</v>
      </c>
      <c r="Q18" s="16" t="s">
        <v>57</v>
      </c>
      <c r="R18" s="16" t="s">
        <v>64</v>
      </c>
      <c r="S18" s="16" t="s">
        <v>50</v>
      </c>
      <c r="T18" s="16" t="s">
        <v>83</v>
      </c>
      <c r="U18" s="16"/>
      <c r="V18" s="10"/>
      <c r="W18" s="10"/>
      <c r="X18" s="10"/>
      <c r="Y18" s="10"/>
      <c r="Z18" s="10"/>
      <c r="AA18" s="8"/>
      <c r="AB18" s="9" t="s">
        <v>21</v>
      </c>
      <c r="AC18" s="9" t="s">
        <v>21</v>
      </c>
      <c r="AD18" s="9" t="s">
        <v>21</v>
      </c>
      <c r="AE18" s="9" t="s">
        <v>21</v>
      </c>
      <c r="AF18" s="9"/>
      <c r="AG18" s="9"/>
      <c r="AH18" s="10"/>
      <c r="AI18" s="10"/>
      <c r="AJ18" s="10"/>
      <c r="AK18" s="10"/>
      <c r="AM18" s="10" t="s">
        <v>26</v>
      </c>
      <c r="AN18" s="10" t="s">
        <v>27</v>
      </c>
      <c r="AO18" s="10" t="s">
        <v>26</v>
      </c>
      <c r="AP18" s="10" t="s">
        <v>27</v>
      </c>
      <c r="AQ18" s="10"/>
      <c r="AR18" s="10"/>
      <c r="AS18" s="10"/>
      <c r="AT18" s="10"/>
      <c r="AU18" s="10"/>
      <c r="AV18" s="10"/>
      <c r="AX18" s="10" t="s">
        <v>110</v>
      </c>
      <c r="AY18" s="10" t="s">
        <v>111</v>
      </c>
      <c r="AZ18" s="9" t="s">
        <v>112</v>
      </c>
      <c r="BA18" s="10" t="s">
        <v>113</v>
      </c>
      <c r="BB18" s="10"/>
      <c r="BC18" s="10"/>
      <c r="BD18" s="10"/>
      <c r="BE18" s="10"/>
      <c r="BF18" s="10"/>
      <c r="BG18" s="10"/>
    </row>
    <row r="19" spans="1:59" ht="14.6" x14ac:dyDescent="0.4">
      <c r="A19" t="b">
        <f>Table1[[#This Row],[Column1]]=P19</f>
        <v>0</v>
      </c>
      <c r="B19" s="14" t="s">
        <v>137</v>
      </c>
      <c r="C19" s="13" t="str">
        <f t="shared" si="0"/>
        <v>goblue1422@gmail.com - M (New York) - Interests: Walk in yard, garage gym</v>
      </c>
      <c r="D19" s="13" t="str">
        <f t="shared" si="1"/>
        <v>Kihwoo12@gmail.com - M (New York) - Interests: Wrestling, snowboarding</v>
      </c>
      <c r="E19" s="13" t="str">
        <f t="shared" si="2"/>
        <v>bschoolloveisblind22@gmail.com - M (Boston) - Interests: Spent a month on a tropical island</v>
      </c>
      <c r="F19" s="13" t="str">
        <f t="shared" si="3"/>
        <v>mbanonymous9@gmail.com - M (New York) - Interests: food instagram, play trumpet</v>
      </c>
      <c r="G19" s="13" t="str">
        <f t="shared" si="4"/>
        <v>n.a.</v>
      </c>
      <c r="H19" s="13" t="str">
        <f t="shared" si="5"/>
        <v>n.a.</v>
      </c>
      <c r="I19" s="13" t="str">
        <f t="shared" si="6"/>
        <v>n.a.</v>
      </c>
      <c r="J19" s="13" t="str">
        <f t="shared" si="7"/>
        <v>n.a.</v>
      </c>
      <c r="K19" s="13" t="str">
        <f t="shared" si="8"/>
        <v>n.a.</v>
      </c>
      <c r="L19" s="13" t="str">
        <f t="shared" si="9"/>
        <v>n.a.</v>
      </c>
      <c r="M19" s="13" t="str">
        <f t="shared" si="10"/>
        <v>quarantinedqueen@gmail.com</v>
      </c>
      <c r="O19" t="s">
        <v>31</v>
      </c>
      <c r="P19" t="s">
        <v>152</v>
      </c>
      <c r="Q19" s="16" t="s">
        <v>80</v>
      </c>
      <c r="R19" s="16" t="s">
        <v>68</v>
      </c>
      <c r="S19" s="16" t="s">
        <v>49</v>
      </c>
      <c r="T19" s="16" t="s">
        <v>79</v>
      </c>
      <c r="U19" s="16"/>
      <c r="V19" s="10"/>
      <c r="W19" s="10"/>
      <c r="X19" s="10"/>
      <c r="Y19" s="10"/>
      <c r="Z19" s="10"/>
      <c r="AA19" s="8"/>
      <c r="AB19" s="9" t="s">
        <v>21</v>
      </c>
      <c r="AC19" s="9" t="s">
        <v>21</v>
      </c>
      <c r="AD19" s="9" t="s">
        <v>21</v>
      </c>
      <c r="AE19" s="9" t="s">
        <v>21</v>
      </c>
      <c r="AF19" s="9"/>
      <c r="AG19" s="9"/>
      <c r="AH19" s="10"/>
      <c r="AI19" s="10"/>
      <c r="AJ19" s="10"/>
      <c r="AK19" s="10"/>
      <c r="AM19" s="10" t="s">
        <v>27</v>
      </c>
      <c r="AN19" s="10" t="s">
        <v>27</v>
      </c>
      <c r="AO19" s="10" t="s">
        <v>26</v>
      </c>
      <c r="AP19" s="10" t="s">
        <v>27</v>
      </c>
      <c r="AQ19" s="10"/>
      <c r="AR19" s="10"/>
      <c r="AS19" s="10"/>
      <c r="AT19" s="10"/>
      <c r="AU19" s="10"/>
      <c r="AV19" s="10"/>
      <c r="AX19" s="10" t="s">
        <v>117</v>
      </c>
      <c r="AY19" s="10" t="s">
        <v>118</v>
      </c>
      <c r="AZ19" s="10" t="s">
        <v>119</v>
      </c>
      <c r="BA19" s="10" t="s">
        <v>120</v>
      </c>
      <c r="BB19" s="10"/>
      <c r="BC19" s="11"/>
      <c r="BD19" s="10"/>
      <c r="BE19" s="10"/>
      <c r="BF19" s="10"/>
      <c r="BG19" s="10"/>
    </row>
    <row r="20" spans="1:59" ht="14.6" x14ac:dyDescent="0.4">
      <c r="A20" t="b">
        <f>Table1[[#This Row],[Column1]]=P20</f>
        <v>0</v>
      </c>
      <c r="B20" s="14" t="s">
        <v>138</v>
      </c>
      <c r="C20" s="13" t="str">
        <f t="shared" si="0"/>
        <v>Kryptosav@gmail.com - M (Boston) - Interests: Reading non-fiction and baking</v>
      </c>
      <c r="D20" s="13" t="str">
        <f t="shared" si="1"/>
        <v>clersaye@gmail.com - M (New York) - Interests: Playing piano, breakfast</v>
      </c>
      <c r="E20" s="13" t="str">
        <f t="shared" si="2"/>
        <v>philaustintexas@gmail.com - M (Boston) - Interests: rock music and surfing</v>
      </c>
      <c r="F20" s="13" t="str">
        <f t="shared" si="3"/>
        <v>VernickOnMyMind@gmail.com - M (Philadelphia) - Interests: Restaurants / Bars, Cycling</v>
      </c>
      <c r="G20" s="13" t="str">
        <f t="shared" si="4"/>
        <v>n.a.</v>
      </c>
      <c r="H20" s="13" t="str">
        <f t="shared" si="5"/>
        <v>n.a.</v>
      </c>
      <c r="I20" s="13" t="str">
        <f t="shared" si="6"/>
        <v>n.a.</v>
      </c>
      <c r="J20" s="13" t="str">
        <f t="shared" si="7"/>
        <v>n.a.</v>
      </c>
      <c r="K20" s="13" t="str">
        <f t="shared" si="8"/>
        <v>n.a.</v>
      </c>
      <c r="L20" s="13" t="str">
        <f t="shared" si="9"/>
        <v>n.a.</v>
      </c>
      <c r="M20" s="13" t="str">
        <f t="shared" si="10"/>
        <v>osakas2er@gmail.com</v>
      </c>
      <c r="O20" t="s">
        <v>39</v>
      </c>
      <c r="P20" t="s">
        <v>142</v>
      </c>
      <c r="Q20" s="16" t="s">
        <v>53</v>
      </c>
      <c r="R20" s="16" t="s">
        <v>77</v>
      </c>
      <c r="S20" s="16" t="s">
        <v>56</v>
      </c>
      <c r="T20" s="16" t="s">
        <v>60</v>
      </c>
      <c r="U20" s="16"/>
      <c r="V20" s="10"/>
      <c r="W20" s="10"/>
      <c r="X20" s="10"/>
      <c r="Y20" s="10"/>
      <c r="Z20" s="10"/>
      <c r="AA20" s="8"/>
      <c r="AB20" s="9" t="s">
        <v>21</v>
      </c>
      <c r="AC20" s="9" t="s">
        <v>21</v>
      </c>
      <c r="AD20" s="9" t="s">
        <v>21</v>
      </c>
      <c r="AE20" s="9" t="s">
        <v>21</v>
      </c>
      <c r="AF20" s="9"/>
      <c r="AG20" s="9"/>
      <c r="AH20" s="10"/>
      <c r="AI20" s="10"/>
      <c r="AJ20" s="10"/>
      <c r="AK20" s="10"/>
      <c r="AM20" s="10" t="s">
        <v>26</v>
      </c>
      <c r="AN20" s="10" t="s">
        <v>27</v>
      </c>
      <c r="AO20" s="10" t="s">
        <v>26</v>
      </c>
      <c r="AP20" s="10" t="s">
        <v>28</v>
      </c>
      <c r="AQ20" s="10"/>
      <c r="AR20" s="10"/>
      <c r="AS20" s="10"/>
      <c r="AT20" s="10"/>
      <c r="AU20" s="10"/>
      <c r="AV20" s="10"/>
      <c r="AX20" s="10" t="s">
        <v>94</v>
      </c>
      <c r="AY20" s="10" t="s">
        <v>95</v>
      </c>
      <c r="AZ20" s="10" t="s">
        <v>96</v>
      </c>
      <c r="BA20" s="10" t="s">
        <v>97</v>
      </c>
      <c r="BB20" s="10"/>
      <c r="BC20" s="10"/>
      <c r="BD20" s="10"/>
      <c r="BE20" s="10"/>
      <c r="BF20" s="10"/>
      <c r="BG20" s="10"/>
    </row>
    <row r="21" spans="1:59" ht="14.6" x14ac:dyDescent="0.4">
      <c r="A21" t="b">
        <f>Table1[[#This Row],[Column1]]=P21</f>
        <v>0</v>
      </c>
      <c r="B21" s="14" t="s">
        <v>139</v>
      </c>
      <c r="C21" s="13" t="str">
        <f t="shared" si="0"/>
        <v>southernchallah@gmail.com - M (New York) - Interests: Road-tripping and laughing</v>
      </c>
      <c r="D21" s="13" t="str">
        <f t="shared" si="1"/>
        <v>Brooklyntohanover@gmail.com - M (New York) - Interests: Cooking and spin class</v>
      </c>
      <c r="E21" s="13" t="str">
        <f t="shared" si="2"/>
        <v>blindbard25@gmail.com - M (New York) - Interests: Tattoos &amp; singing rock music</v>
      </c>
      <c r="F21" s="13" t="str">
        <f t="shared" si="3"/>
        <v>mrsocialdistance@gmail.com - M (Boston) - Interests: Outdoors, podcasts, travel, keeping in touch</v>
      </c>
      <c r="G21" s="13" t="str">
        <f t="shared" si="4"/>
        <v>n.a.</v>
      </c>
      <c r="H21" s="13" t="str">
        <f t="shared" si="5"/>
        <v>n.a.</v>
      </c>
      <c r="I21" s="13" t="str">
        <f t="shared" si="6"/>
        <v>n.a.</v>
      </c>
      <c r="J21" s="13" t="str">
        <f t="shared" si="7"/>
        <v>n.a.</v>
      </c>
      <c r="K21" s="13" t="str">
        <f t="shared" si="8"/>
        <v>n.a.</v>
      </c>
      <c r="L21" s="13" t="str">
        <f t="shared" si="9"/>
        <v>n.a.</v>
      </c>
      <c r="M21" s="13" t="str">
        <f t="shared" ref="M21:M36" si="11">O21</f>
        <v>antarxsblue@gmail.com</v>
      </c>
      <c r="O21" t="s">
        <v>35</v>
      </c>
      <c r="P21" t="s">
        <v>142</v>
      </c>
      <c r="Q21" s="16" t="s">
        <v>78</v>
      </c>
      <c r="R21" s="16" t="s">
        <v>76</v>
      </c>
      <c r="S21" s="16" t="s">
        <v>70</v>
      </c>
      <c r="T21" s="16" t="s">
        <v>52</v>
      </c>
      <c r="U21" s="16"/>
      <c r="V21" s="10"/>
      <c r="W21" s="10"/>
      <c r="X21" s="10"/>
      <c r="Y21" s="10"/>
      <c r="Z21" s="10"/>
      <c r="AA21" s="8"/>
      <c r="AB21" s="9" t="s">
        <v>21</v>
      </c>
      <c r="AC21" s="9" t="s">
        <v>21</v>
      </c>
      <c r="AD21" s="9" t="s">
        <v>21</v>
      </c>
      <c r="AE21" s="9" t="s">
        <v>21</v>
      </c>
      <c r="AF21" s="9"/>
      <c r="AG21" s="9"/>
      <c r="AH21" s="10"/>
      <c r="AI21" s="10"/>
      <c r="AJ21" s="10"/>
      <c r="AK21" s="10"/>
      <c r="AM21" s="10" t="s">
        <v>27</v>
      </c>
      <c r="AN21" s="10" t="s">
        <v>27</v>
      </c>
      <c r="AO21" s="10" t="s">
        <v>27</v>
      </c>
      <c r="AP21" s="10" t="s">
        <v>26</v>
      </c>
      <c r="AQ21" s="10"/>
      <c r="AR21" s="10"/>
      <c r="AS21" s="10"/>
      <c r="AT21" s="10"/>
      <c r="AU21" s="10"/>
      <c r="AV21" s="10"/>
      <c r="AX21" s="10" t="s">
        <v>106</v>
      </c>
      <c r="AY21" s="10" t="s">
        <v>107</v>
      </c>
      <c r="AZ21" s="10" t="s">
        <v>108</v>
      </c>
      <c r="BA21" s="10" t="s">
        <v>109</v>
      </c>
      <c r="BB21" s="10"/>
      <c r="BC21" s="10"/>
      <c r="BD21" s="10"/>
      <c r="BE21" s="10"/>
      <c r="BF21" s="10"/>
      <c r="BG21" s="10"/>
    </row>
    <row r="22" spans="1:59" ht="14.6" x14ac:dyDescent="0.4">
      <c r="A22" t="b">
        <f>Table1[[#This Row],[Column1]]=P22</f>
        <v>1</v>
      </c>
      <c r="B22" s="14"/>
      <c r="C22" s="13" t="str">
        <f t="shared" si="0"/>
        <v>n.a.</v>
      </c>
      <c r="D22" s="13" t="str">
        <f t="shared" si="1"/>
        <v>n.a.</v>
      </c>
      <c r="E22" s="13" t="str">
        <f t="shared" si="2"/>
        <v>n.a.</v>
      </c>
      <c r="F22" s="13" t="str">
        <f t="shared" si="3"/>
        <v>n.a.</v>
      </c>
      <c r="G22" s="13" t="str">
        <f t="shared" si="4"/>
        <v>n.a.</v>
      </c>
      <c r="H22" s="13" t="str">
        <f t="shared" si="5"/>
        <v>n.a.</v>
      </c>
      <c r="I22" s="13" t="str">
        <f t="shared" si="6"/>
        <v>n.a.</v>
      </c>
      <c r="J22" s="13" t="str">
        <f t="shared" si="7"/>
        <v>n.a.</v>
      </c>
      <c r="K22" s="13" t="str">
        <f t="shared" si="8"/>
        <v>n.a.</v>
      </c>
      <c r="L22" s="13" t="str">
        <f t="shared" si="9"/>
        <v>n.a.</v>
      </c>
      <c r="M22" s="13">
        <f t="shared" si="11"/>
        <v>0</v>
      </c>
      <c r="Q22" s="16"/>
      <c r="R22" s="16"/>
      <c r="S22" s="16"/>
      <c r="T22" s="16"/>
      <c r="U22" s="16"/>
      <c r="V22" s="10"/>
      <c r="W22" s="10"/>
      <c r="X22" s="10"/>
      <c r="Y22" s="10"/>
      <c r="Z22" s="10"/>
      <c r="AA22" s="8"/>
      <c r="AB22" s="9"/>
      <c r="AC22" s="9"/>
      <c r="AD22" s="9"/>
      <c r="AE22" s="9"/>
      <c r="AF22" s="9"/>
      <c r="AG22" s="9"/>
      <c r="AH22" s="10"/>
      <c r="AI22" s="10"/>
      <c r="AJ22" s="10"/>
      <c r="AK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</row>
    <row r="23" spans="1:59" ht="14.6" x14ac:dyDescent="0.4">
      <c r="A23" t="b">
        <f>Table1[[#This Row],[Column1]]=P23</f>
        <v>1</v>
      </c>
      <c r="B23" s="14"/>
      <c r="C23" s="13" t="str">
        <f t="shared" si="0"/>
        <v>n.a.</v>
      </c>
      <c r="D23" s="13" t="str">
        <f t="shared" si="1"/>
        <v>n.a.</v>
      </c>
      <c r="E23" s="13" t="str">
        <f t="shared" si="2"/>
        <v>n.a.</v>
      </c>
      <c r="F23" s="13" t="str">
        <f t="shared" si="3"/>
        <v>n.a.</v>
      </c>
      <c r="G23" s="13" t="str">
        <f t="shared" si="4"/>
        <v>n.a.</v>
      </c>
      <c r="H23" s="13" t="str">
        <f t="shared" si="5"/>
        <v>n.a.</v>
      </c>
      <c r="I23" s="13" t="str">
        <f t="shared" si="6"/>
        <v>n.a.</v>
      </c>
      <c r="J23" s="13" t="str">
        <f t="shared" si="7"/>
        <v>n.a.</v>
      </c>
      <c r="K23" s="13" t="str">
        <f t="shared" si="8"/>
        <v>n.a.</v>
      </c>
      <c r="L23" s="13" t="str">
        <f t="shared" si="9"/>
        <v>n.a.</v>
      </c>
      <c r="M23" s="13">
        <f t="shared" si="11"/>
        <v>0</v>
      </c>
      <c r="Q23" s="16"/>
      <c r="R23" s="16"/>
      <c r="S23" s="16"/>
      <c r="T23" s="16"/>
      <c r="U23" s="16"/>
      <c r="V23" s="10"/>
      <c r="W23" s="10"/>
      <c r="X23" s="10"/>
      <c r="Y23" s="10"/>
      <c r="Z23" s="10"/>
      <c r="AA23" s="8"/>
      <c r="AB23" s="9"/>
      <c r="AC23" s="9"/>
      <c r="AD23" s="9"/>
      <c r="AE23" s="9"/>
      <c r="AF23" s="9"/>
      <c r="AG23" s="9"/>
      <c r="AH23" s="10"/>
      <c r="AI23" s="10"/>
      <c r="AJ23" s="10"/>
      <c r="AK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X23" s="10"/>
      <c r="AY23" s="10"/>
      <c r="AZ23" s="10"/>
      <c r="BA23" s="10"/>
      <c r="BB23" s="10"/>
      <c r="BC23" s="11"/>
      <c r="BD23" s="10"/>
      <c r="BE23" s="10"/>
      <c r="BF23" s="10"/>
      <c r="BG23" s="10"/>
    </row>
    <row r="24" spans="1:59" ht="14.6" x14ac:dyDescent="0.4">
      <c r="A24" t="b">
        <f>Table1[[#This Row],[Column1]]=P24</f>
        <v>1</v>
      </c>
      <c r="B24" s="14"/>
      <c r="C24" s="13" t="str">
        <f t="shared" si="0"/>
        <v>n.a.</v>
      </c>
      <c r="D24" s="13" t="str">
        <f t="shared" si="1"/>
        <v>n.a.</v>
      </c>
      <c r="E24" s="13" t="str">
        <f t="shared" si="2"/>
        <v>n.a.</v>
      </c>
      <c r="F24" s="13" t="str">
        <f t="shared" si="3"/>
        <v>n.a.</v>
      </c>
      <c r="G24" s="13" t="str">
        <f t="shared" si="4"/>
        <v>n.a.</v>
      </c>
      <c r="H24" s="13" t="str">
        <f t="shared" si="5"/>
        <v>n.a.</v>
      </c>
      <c r="I24" s="13" t="str">
        <f t="shared" si="6"/>
        <v>n.a.</v>
      </c>
      <c r="J24" s="13" t="str">
        <f t="shared" si="7"/>
        <v>n.a.</v>
      </c>
      <c r="K24" s="13" t="str">
        <f t="shared" si="8"/>
        <v>n.a.</v>
      </c>
      <c r="L24" s="13" t="str">
        <f t="shared" si="9"/>
        <v>n.a.</v>
      </c>
      <c r="M24" s="13">
        <f t="shared" si="11"/>
        <v>0</v>
      </c>
      <c r="Q24" s="16"/>
      <c r="R24" s="16"/>
      <c r="S24" s="16"/>
      <c r="T24" s="16"/>
      <c r="U24" s="16"/>
      <c r="V24" s="10"/>
      <c r="W24" s="10"/>
      <c r="X24" s="10"/>
      <c r="Y24" s="10"/>
      <c r="Z24" s="10"/>
      <c r="AA24" s="8"/>
      <c r="AB24" s="9"/>
      <c r="AC24" s="9"/>
      <c r="AD24" s="9"/>
      <c r="AE24" s="9"/>
      <c r="AF24" s="9"/>
      <c r="AG24" s="9"/>
      <c r="AH24" s="10"/>
      <c r="AI24" s="10"/>
      <c r="AJ24" s="10"/>
      <c r="AK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X24" s="10"/>
      <c r="AY24" s="10"/>
      <c r="AZ24" s="10"/>
      <c r="BA24" s="10"/>
      <c r="BB24" s="10"/>
      <c r="BC24" s="11"/>
      <c r="BD24" s="10"/>
      <c r="BE24" s="10"/>
      <c r="BF24" s="10"/>
      <c r="BG24" s="10"/>
    </row>
    <row r="25" spans="1:59" ht="14.6" x14ac:dyDescent="0.4">
      <c r="A25" t="b">
        <f>Table1[[#This Row],[Column1]]=P25</f>
        <v>1</v>
      </c>
      <c r="B25" s="14"/>
      <c r="C25" s="13" t="str">
        <f t="shared" si="0"/>
        <v>n.a.</v>
      </c>
      <c r="D25" s="13" t="str">
        <f t="shared" si="1"/>
        <v>n.a.</v>
      </c>
      <c r="E25" s="13" t="str">
        <f t="shared" si="2"/>
        <v>n.a.</v>
      </c>
      <c r="F25" s="13" t="str">
        <f t="shared" si="3"/>
        <v>n.a.</v>
      </c>
      <c r="G25" s="13" t="str">
        <f t="shared" si="4"/>
        <v>n.a.</v>
      </c>
      <c r="H25" s="13" t="str">
        <f t="shared" si="5"/>
        <v>n.a.</v>
      </c>
      <c r="I25" s="13" t="str">
        <f t="shared" si="6"/>
        <v>n.a.</v>
      </c>
      <c r="J25" s="13" t="str">
        <f t="shared" si="7"/>
        <v>n.a.</v>
      </c>
      <c r="K25" s="13" t="str">
        <f t="shared" si="8"/>
        <v>n.a.</v>
      </c>
      <c r="L25" s="13" t="str">
        <f t="shared" si="9"/>
        <v>n.a.</v>
      </c>
      <c r="M25" s="13">
        <f t="shared" si="11"/>
        <v>0</v>
      </c>
      <c r="Q25" s="16"/>
      <c r="R25" s="16"/>
      <c r="S25" s="16"/>
      <c r="T25" s="16"/>
      <c r="U25" s="16"/>
      <c r="V25" s="10"/>
      <c r="W25" s="10"/>
      <c r="X25" s="10"/>
      <c r="Y25" s="10"/>
      <c r="Z25" s="10"/>
      <c r="AA25" s="8"/>
      <c r="AB25" s="9"/>
      <c r="AC25" s="9"/>
      <c r="AD25" s="9"/>
      <c r="AE25" s="9"/>
      <c r="AF25" s="9"/>
      <c r="AG25" s="9"/>
      <c r="AH25" s="10"/>
      <c r="AI25" s="10"/>
      <c r="AJ25" s="10"/>
      <c r="AK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</row>
    <row r="26" spans="1:59" ht="14.6" x14ac:dyDescent="0.4">
      <c r="A26" t="b">
        <f>Table1[[#This Row],[Column1]]=P26</f>
        <v>1</v>
      </c>
      <c r="B26" s="14"/>
      <c r="C26" s="13" t="str">
        <f t="shared" si="0"/>
        <v>n.a.</v>
      </c>
      <c r="D26" s="13" t="str">
        <f t="shared" si="1"/>
        <v>n.a.</v>
      </c>
      <c r="E26" s="13" t="str">
        <f t="shared" si="2"/>
        <v>n.a.</v>
      </c>
      <c r="F26" s="13" t="str">
        <f t="shared" si="3"/>
        <v>n.a.</v>
      </c>
      <c r="G26" s="13" t="str">
        <f t="shared" si="4"/>
        <v>n.a.</v>
      </c>
      <c r="H26" s="13" t="str">
        <f t="shared" si="5"/>
        <v>n.a.</v>
      </c>
      <c r="I26" s="13" t="str">
        <f t="shared" si="6"/>
        <v>n.a.</v>
      </c>
      <c r="J26" s="13" t="str">
        <f t="shared" si="7"/>
        <v>n.a.</v>
      </c>
      <c r="K26" s="13" t="str">
        <f t="shared" si="8"/>
        <v>n.a.</v>
      </c>
      <c r="L26" s="13" t="str">
        <f t="shared" si="9"/>
        <v>n.a.</v>
      </c>
      <c r="M26" s="13">
        <f t="shared" si="11"/>
        <v>0</v>
      </c>
      <c r="Q26" s="16"/>
      <c r="R26" s="16"/>
      <c r="S26" s="16"/>
      <c r="T26" s="16"/>
      <c r="U26" s="16"/>
      <c r="V26" s="10"/>
      <c r="W26" s="10"/>
      <c r="X26" s="10"/>
      <c r="Y26" s="10"/>
      <c r="Z26" s="10"/>
      <c r="AA26" s="8"/>
      <c r="AB26" s="9"/>
      <c r="AC26" s="9"/>
      <c r="AD26" s="9"/>
      <c r="AE26" s="9"/>
      <c r="AF26" s="9"/>
      <c r="AG26" s="9"/>
      <c r="AH26" s="10"/>
      <c r="AI26" s="10"/>
      <c r="AJ26" s="10"/>
      <c r="AK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</row>
    <row r="27" spans="1:59" ht="14.6" x14ac:dyDescent="0.4">
      <c r="A27" t="b">
        <f>Table1[[#This Row],[Column1]]=P27</f>
        <v>1</v>
      </c>
      <c r="B27" s="14"/>
      <c r="C27" s="13" t="str">
        <f t="shared" si="0"/>
        <v>n.a.</v>
      </c>
      <c r="D27" s="13" t="str">
        <f t="shared" si="1"/>
        <v>n.a.</v>
      </c>
      <c r="E27" s="13" t="str">
        <f t="shared" si="2"/>
        <v>n.a.</v>
      </c>
      <c r="F27" s="13" t="str">
        <f t="shared" si="3"/>
        <v>n.a.</v>
      </c>
      <c r="G27" s="13" t="str">
        <f t="shared" si="4"/>
        <v>n.a.</v>
      </c>
      <c r="H27" s="13" t="str">
        <f t="shared" si="5"/>
        <v>n.a.</v>
      </c>
      <c r="I27" s="13" t="str">
        <f t="shared" si="6"/>
        <v>n.a.</v>
      </c>
      <c r="J27" s="13" t="str">
        <f t="shared" si="7"/>
        <v>n.a.</v>
      </c>
      <c r="K27" s="13" t="str">
        <f t="shared" si="8"/>
        <v>n.a.</v>
      </c>
      <c r="L27" s="13" t="str">
        <f t="shared" si="9"/>
        <v>n.a.</v>
      </c>
      <c r="M27" s="13">
        <f t="shared" si="11"/>
        <v>0</v>
      </c>
      <c r="Q27" s="16"/>
      <c r="R27" s="16"/>
      <c r="S27" s="16"/>
      <c r="T27" s="16"/>
      <c r="U27" s="16"/>
      <c r="V27" s="10"/>
      <c r="W27" s="10"/>
      <c r="X27" s="10"/>
      <c r="Y27" s="10"/>
      <c r="Z27" s="10"/>
      <c r="AA27" s="8"/>
      <c r="AB27" s="9"/>
      <c r="AC27" s="9"/>
      <c r="AD27" s="9"/>
      <c r="AE27" s="9"/>
      <c r="AF27" s="9"/>
      <c r="AG27" s="9"/>
      <c r="AH27" s="10"/>
      <c r="AI27" s="10"/>
      <c r="AJ27" s="10"/>
      <c r="AK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X27" s="10"/>
      <c r="AY27" s="10"/>
      <c r="AZ27" s="11"/>
      <c r="BA27" s="10"/>
      <c r="BB27" s="10"/>
      <c r="BC27" s="10"/>
      <c r="BD27" s="10"/>
      <c r="BE27" s="10"/>
      <c r="BF27" s="10"/>
      <c r="BG27" s="10"/>
    </row>
    <row r="28" spans="1:59" ht="14.6" x14ac:dyDescent="0.4">
      <c r="A28" t="b">
        <f>Table1[[#This Row],[Column1]]=P28</f>
        <v>1</v>
      </c>
      <c r="B28" s="14"/>
      <c r="C28" s="13" t="str">
        <f t="shared" si="0"/>
        <v>n.a.</v>
      </c>
      <c r="D28" s="13" t="str">
        <f t="shared" si="1"/>
        <v>n.a.</v>
      </c>
      <c r="E28" s="13" t="str">
        <f t="shared" si="2"/>
        <v>n.a.</v>
      </c>
      <c r="F28" s="13" t="str">
        <f t="shared" si="3"/>
        <v>n.a.</v>
      </c>
      <c r="G28" s="13" t="str">
        <f t="shared" si="4"/>
        <v>n.a.</v>
      </c>
      <c r="H28" s="13" t="str">
        <f t="shared" si="5"/>
        <v>n.a.</v>
      </c>
      <c r="I28" s="13" t="str">
        <f t="shared" si="6"/>
        <v>n.a.</v>
      </c>
      <c r="J28" s="13" t="str">
        <f t="shared" si="7"/>
        <v>n.a.</v>
      </c>
      <c r="K28" s="13" t="str">
        <f t="shared" si="8"/>
        <v>n.a.</v>
      </c>
      <c r="L28" s="13" t="str">
        <f t="shared" si="9"/>
        <v>n.a.</v>
      </c>
      <c r="M28" s="13">
        <f t="shared" si="11"/>
        <v>0</v>
      </c>
      <c r="Q28" s="16"/>
      <c r="R28" s="16"/>
      <c r="S28" s="16"/>
      <c r="T28" s="16"/>
      <c r="U28" s="16"/>
      <c r="V28" s="10"/>
      <c r="W28" s="10"/>
      <c r="X28" s="10"/>
      <c r="Y28" s="10"/>
      <c r="Z28" s="10"/>
      <c r="AA28" s="8"/>
      <c r="AB28" s="9"/>
      <c r="AC28" s="9"/>
      <c r="AD28" s="9"/>
      <c r="AE28" s="9"/>
      <c r="AF28" s="9"/>
      <c r="AG28" s="9"/>
      <c r="AH28" s="10"/>
      <c r="AI28" s="10"/>
      <c r="AJ28" s="10"/>
      <c r="AK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</row>
    <row r="29" spans="1:59" ht="14.6" x14ac:dyDescent="0.4">
      <c r="A29" t="b">
        <f>Table1[[#This Row],[Column1]]=P29</f>
        <v>1</v>
      </c>
      <c r="B29" s="14"/>
      <c r="C29" s="13" t="str">
        <f t="shared" si="0"/>
        <v>n.a.</v>
      </c>
      <c r="D29" s="13" t="str">
        <f t="shared" si="1"/>
        <v>n.a.</v>
      </c>
      <c r="E29" s="13" t="str">
        <f t="shared" si="2"/>
        <v>n.a.</v>
      </c>
      <c r="F29" s="13" t="str">
        <f t="shared" si="3"/>
        <v>n.a.</v>
      </c>
      <c r="G29" s="13" t="str">
        <f t="shared" si="4"/>
        <v>n.a.</v>
      </c>
      <c r="H29" s="13" t="str">
        <f t="shared" si="5"/>
        <v>n.a.</v>
      </c>
      <c r="I29" s="13" t="str">
        <f t="shared" si="6"/>
        <v>n.a.</v>
      </c>
      <c r="J29" s="13" t="str">
        <f t="shared" si="7"/>
        <v>n.a.</v>
      </c>
      <c r="K29" s="13" t="str">
        <f t="shared" si="8"/>
        <v>n.a.</v>
      </c>
      <c r="L29" s="13" t="str">
        <f t="shared" si="9"/>
        <v>n.a.</v>
      </c>
      <c r="M29" s="13">
        <f t="shared" si="11"/>
        <v>0</v>
      </c>
      <c r="Q29" s="16"/>
      <c r="R29" s="16"/>
      <c r="S29" s="16"/>
      <c r="T29" s="16"/>
      <c r="U29" s="16"/>
      <c r="V29" s="10"/>
      <c r="W29" s="10"/>
      <c r="X29" s="10"/>
      <c r="Y29" s="10"/>
      <c r="Z29" s="10"/>
      <c r="AA29" s="8"/>
      <c r="AB29" s="9"/>
      <c r="AC29" s="9"/>
      <c r="AD29" s="9"/>
      <c r="AE29" s="9"/>
      <c r="AF29" s="9"/>
      <c r="AG29" s="9"/>
      <c r="AH29" s="10"/>
      <c r="AI29" s="10"/>
      <c r="AJ29" s="10"/>
      <c r="AK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</row>
    <row r="30" spans="1:59" ht="14.6" x14ac:dyDescent="0.4">
      <c r="A30" t="b">
        <f>Table1[[#This Row],[Column1]]=P30</f>
        <v>1</v>
      </c>
      <c r="B30" s="14"/>
      <c r="C30" s="13" t="str">
        <f t="shared" si="0"/>
        <v>n.a.</v>
      </c>
      <c r="D30" s="13" t="str">
        <f t="shared" si="1"/>
        <v>n.a.</v>
      </c>
      <c r="E30" s="13" t="str">
        <f t="shared" si="2"/>
        <v>n.a.</v>
      </c>
      <c r="F30" s="13" t="str">
        <f t="shared" si="3"/>
        <v>n.a.</v>
      </c>
      <c r="G30" s="13" t="str">
        <f t="shared" si="4"/>
        <v>n.a.</v>
      </c>
      <c r="H30" s="13" t="str">
        <f t="shared" si="5"/>
        <v>n.a.</v>
      </c>
      <c r="I30" s="13" t="str">
        <f t="shared" si="6"/>
        <v>n.a.</v>
      </c>
      <c r="J30" s="13" t="str">
        <f t="shared" si="7"/>
        <v>n.a.</v>
      </c>
      <c r="K30" s="13" t="str">
        <f t="shared" si="8"/>
        <v>n.a.</v>
      </c>
      <c r="L30" s="13" t="str">
        <f t="shared" si="9"/>
        <v>n.a.</v>
      </c>
      <c r="M30" s="13">
        <f t="shared" si="11"/>
        <v>0</v>
      </c>
      <c r="Q30" s="16"/>
      <c r="R30" s="16"/>
      <c r="S30" s="16"/>
      <c r="T30" s="16"/>
      <c r="U30" s="16"/>
      <c r="V30" s="10"/>
      <c r="W30" s="10"/>
      <c r="X30" s="10"/>
      <c r="Y30" s="10"/>
      <c r="Z30" s="10"/>
      <c r="AA30" s="8"/>
      <c r="AB30" s="9"/>
      <c r="AC30" s="9"/>
      <c r="AD30" s="9"/>
      <c r="AE30" s="9"/>
      <c r="AF30" s="9"/>
      <c r="AG30" s="9"/>
      <c r="AH30" s="10"/>
      <c r="AI30" s="10"/>
      <c r="AJ30" s="10"/>
      <c r="AK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</row>
    <row r="31" spans="1:59" ht="14.6" x14ac:dyDescent="0.4">
      <c r="A31" t="b">
        <f>Table1[[#This Row],[Column1]]=P31</f>
        <v>1</v>
      </c>
      <c r="B31" s="14"/>
      <c r="C31" s="13" t="str">
        <f t="shared" si="0"/>
        <v>n.a.</v>
      </c>
      <c r="D31" s="13" t="str">
        <f t="shared" si="1"/>
        <v>n.a.</v>
      </c>
      <c r="E31" s="13" t="str">
        <f t="shared" si="2"/>
        <v>n.a.</v>
      </c>
      <c r="F31" s="13" t="str">
        <f t="shared" si="3"/>
        <v>n.a.</v>
      </c>
      <c r="G31" s="13" t="str">
        <f t="shared" si="4"/>
        <v>n.a.</v>
      </c>
      <c r="H31" s="13" t="str">
        <f t="shared" si="5"/>
        <v>n.a.</v>
      </c>
      <c r="I31" s="13" t="str">
        <f t="shared" si="6"/>
        <v>n.a.</v>
      </c>
      <c r="J31" s="13" t="str">
        <f t="shared" si="7"/>
        <v>n.a.</v>
      </c>
      <c r="K31" s="13" t="str">
        <f t="shared" si="8"/>
        <v>n.a.</v>
      </c>
      <c r="L31" s="13" t="str">
        <f t="shared" si="9"/>
        <v>n.a.</v>
      </c>
      <c r="M31" s="13">
        <f t="shared" si="11"/>
        <v>0</v>
      </c>
      <c r="Q31" s="16"/>
      <c r="R31" s="16"/>
      <c r="S31" s="16"/>
      <c r="T31" s="16"/>
      <c r="U31" s="16"/>
      <c r="V31" s="10"/>
      <c r="W31" s="10"/>
      <c r="X31" s="10"/>
      <c r="Y31" s="10"/>
      <c r="Z31" s="10"/>
      <c r="AA31" s="8"/>
      <c r="AB31" s="9"/>
      <c r="AC31" s="9"/>
      <c r="AD31" s="9"/>
      <c r="AE31" s="9"/>
      <c r="AF31" s="9"/>
      <c r="AG31" s="9"/>
      <c r="AH31" s="10"/>
      <c r="AI31" s="10"/>
      <c r="AJ31" s="10"/>
      <c r="AK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</row>
    <row r="32" spans="1:59" ht="14.6" x14ac:dyDescent="0.4">
      <c r="A32" t="b">
        <f>Table1[[#This Row],[Column1]]=P32</f>
        <v>1</v>
      </c>
      <c r="B32" s="14"/>
      <c r="C32" s="13" t="str">
        <f t="shared" si="0"/>
        <v>n.a.</v>
      </c>
      <c r="D32" s="13" t="str">
        <f t="shared" si="1"/>
        <v>n.a.</v>
      </c>
      <c r="E32" s="13" t="str">
        <f t="shared" si="2"/>
        <v>n.a.</v>
      </c>
      <c r="F32" s="13" t="str">
        <f t="shared" si="3"/>
        <v>n.a.</v>
      </c>
      <c r="G32" s="13" t="str">
        <f t="shared" si="4"/>
        <v>n.a.</v>
      </c>
      <c r="H32" s="13" t="str">
        <f t="shared" si="5"/>
        <v>n.a.</v>
      </c>
      <c r="I32" s="13" t="str">
        <f t="shared" si="6"/>
        <v>n.a.</v>
      </c>
      <c r="J32" s="13" t="str">
        <f t="shared" si="7"/>
        <v>n.a.</v>
      </c>
      <c r="K32" s="13" t="str">
        <f t="shared" si="8"/>
        <v>n.a.</v>
      </c>
      <c r="L32" s="13" t="str">
        <f t="shared" si="9"/>
        <v>n.a.</v>
      </c>
      <c r="M32" s="13">
        <f t="shared" si="11"/>
        <v>0</v>
      </c>
      <c r="Q32" s="16"/>
      <c r="R32" s="16"/>
      <c r="S32" s="16"/>
      <c r="T32" s="16"/>
      <c r="U32" s="16"/>
      <c r="V32" s="10"/>
      <c r="W32" s="10"/>
      <c r="X32" s="10"/>
      <c r="Y32" s="10"/>
      <c r="Z32" s="10"/>
      <c r="AA32" s="8"/>
      <c r="AB32" s="9"/>
      <c r="AC32" s="9"/>
      <c r="AD32" s="9"/>
      <c r="AE32" s="9"/>
      <c r="AF32" s="9"/>
      <c r="AG32" s="9"/>
      <c r="AH32" s="10"/>
      <c r="AI32" s="10"/>
      <c r="AJ32" s="10"/>
      <c r="AK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X32" s="10"/>
      <c r="AY32" s="10"/>
      <c r="AZ32" s="11"/>
      <c r="BA32" s="10"/>
      <c r="BB32" s="10"/>
      <c r="BC32" s="10"/>
      <c r="BD32" s="10"/>
      <c r="BE32" s="10"/>
      <c r="BF32" s="10"/>
      <c r="BG32" s="10"/>
    </row>
    <row r="33" spans="1:59" ht="14.6" x14ac:dyDescent="0.4">
      <c r="A33" t="b">
        <f>Table1[[#This Row],[Column1]]=P33</f>
        <v>1</v>
      </c>
      <c r="B33" s="14"/>
      <c r="C33" s="13" t="str">
        <f t="shared" si="0"/>
        <v>n.a.</v>
      </c>
      <c r="D33" s="13" t="str">
        <f t="shared" si="1"/>
        <v>n.a.</v>
      </c>
      <c r="E33" s="13" t="str">
        <f t="shared" si="2"/>
        <v>n.a.</v>
      </c>
      <c r="F33" s="13" t="str">
        <f t="shared" si="3"/>
        <v>n.a.</v>
      </c>
      <c r="G33" s="13" t="str">
        <f t="shared" si="4"/>
        <v>n.a.</v>
      </c>
      <c r="H33" s="13" t="str">
        <f t="shared" si="5"/>
        <v>n.a.</v>
      </c>
      <c r="I33" s="13" t="str">
        <f t="shared" si="6"/>
        <v>n.a.</v>
      </c>
      <c r="J33" s="13" t="str">
        <f t="shared" si="7"/>
        <v>n.a.</v>
      </c>
      <c r="K33" s="13" t="str">
        <f t="shared" si="8"/>
        <v>n.a.</v>
      </c>
      <c r="L33" s="13" t="str">
        <f t="shared" si="9"/>
        <v>n.a.</v>
      </c>
      <c r="M33" s="13">
        <f t="shared" si="11"/>
        <v>0</v>
      </c>
      <c r="Q33" s="16"/>
      <c r="R33" s="16"/>
      <c r="S33" s="16"/>
      <c r="T33" s="16"/>
      <c r="U33" s="16"/>
      <c r="V33" s="10"/>
      <c r="W33" s="10"/>
      <c r="X33" s="10"/>
      <c r="Y33" s="10"/>
      <c r="Z33" s="10"/>
      <c r="AA33" s="8"/>
      <c r="AB33" s="9"/>
      <c r="AC33" s="9"/>
      <c r="AD33" s="9"/>
      <c r="AE33" s="9"/>
      <c r="AF33" s="9"/>
      <c r="AG33" s="9"/>
      <c r="AH33" s="10"/>
      <c r="AI33" s="10"/>
      <c r="AJ33" s="10"/>
      <c r="AK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</row>
    <row r="34" spans="1:59" ht="14.6" x14ac:dyDescent="0.4">
      <c r="A34" t="b">
        <f>Table1[[#This Row],[Column1]]=P34</f>
        <v>1</v>
      </c>
      <c r="B34" s="14"/>
      <c r="C34" s="13" t="str">
        <f t="shared" si="0"/>
        <v>n.a.</v>
      </c>
      <c r="D34" s="13" t="str">
        <f t="shared" si="1"/>
        <v>n.a.</v>
      </c>
      <c r="E34" s="13" t="str">
        <f t="shared" si="2"/>
        <v>n.a.</v>
      </c>
      <c r="F34" s="13" t="str">
        <f t="shared" si="3"/>
        <v>n.a.</v>
      </c>
      <c r="G34" s="13" t="str">
        <f t="shared" si="4"/>
        <v>n.a.</v>
      </c>
      <c r="H34" s="13" t="str">
        <f t="shared" si="5"/>
        <v>n.a.</v>
      </c>
      <c r="I34" s="13" t="str">
        <f t="shared" si="6"/>
        <v>n.a.</v>
      </c>
      <c r="J34" s="13" t="str">
        <f t="shared" si="7"/>
        <v>n.a.</v>
      </c>
      <c r="K34" s="13" t="str">
        <f t="shared" si="8"/>
        <v>n.a.</v>
      </c>
      <c r="L34" s="13" t="str">
        <f t="shared" si="9"/>
        <v>n.a.</v>
      </c>
      <c r="M34" s="13">
        <f t="shared" si="11"/>
        <v>0</v>
      </c>
      <c r="Q34" s="16"/>
      <c r="R34" s="16"/>
      <c r="S34" s="16"/>
      <c r="T34" s="16"/>
      <c r="U34" s="16"/>
      <c r="V34" s="10"/>
      <c r="W34" s="10"/>
      <c r="X34" s="10"/>
      <c r="Y34" s="10"/>
      <c r="Z34" s="10"/>
      <c r="AA34" s="8"/>
      <c r="AB34" s="9"/>
      <c r="AC34" s="9"/>
      <c r="AD34" s="9"/>
      <c r="AE34" s="9"/>
      <c r="AF34" s="9"/>
      <c r="AG34" s="9"/>
      <c r="AH34" s="10"/>
      <c r="AI34" s="10"/>
      <c r="AJ34" s="10"/>
      <c r="AK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</row>
    <row r="35" spans="1:59" ht="14.6" x14ac:dyDescent="0.4">
      <c r="A35" t="b">
        <f>Table1[[#This Row],[Column1]]=P35</f>
        <v>1</v>
      </c>
      <c r="B35" s="14"/>
      <c r="C35" s="13" t="str">
        <f t="shared" si="0"/>
        <v>n.a.</v>
      </c>
      <c r="D35" s="13" t="str">
        <f t="shared" si="1"/>
        <v>n.a.</v>
      </c>
      <c r="E35" s="13" t="str">
        <f t="shared" si="2"/>
        <v>n.a.</v>
      </c>
      <c r="F35" s="13" t="str">
        <f t="shared" si="3"/>
        <v>n.a.</v>
      </c>
      <c r="G35" s="13" t="str">
        <f t="shared" si="4"/>
        <v>n.a.</v>
      </c>
      <c r="H35" s="13" t="str">
        <f t="shared" si="5"/>
        <v>n.a.</v>
      </c>
      <c r="I35" s="13" t="str">
        <f t="shared" si="6"/>
        <v>n.a.</v>
      </c>
      <c r="J35" s="13" t="str">
        <f t="shared" si="7"/>
        <v>n.a.</v>
      </c>
      <c r="K35" s="13" t="str">
        <f t="shared" si="8"/>
        <v>n.a.</v>
      </c>
      <c r="L35" s="13" t="str">
        <f t="shared" si="9"/>
        <v>n.a.</v>
      </c>
      <c r="M35" s="13">
        <f t="shared" si="11"/>
        <v>0</v>
      </c>
      <c r="Q35" s="16"/>
      <c r="R35" s="16"/>
      <c r="S35" s="16"/>
      <c r="T35" s="16"/>
      <c r="U35" s="16"/>
      <c r="V35" s="10"/>
      <c r="W35" s="10"/>
      <c r="X35" s="10"/>
      <c r="Y35" s="10"/>
      <c r="Z35" s="10"/>
      <c r="AA35" s="8"/>
      <c r="AB35" s="9"/>
      <c r="AC35" s="9"/>
      <c r="AD35" s="9"/>
      <c r="AE35" s="9"/>
      <c r="AF35" s="9"/>
      <c r="AG35" s="9"/>
      <c r="AH35" s="10"/>
      <c r="AI35" s="10"/>
      <c r="AJ35" s="10"/>
      <c r="AK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</row>
    <row r="36" spans="1:59" ht="14.6" x14ac:dyDescent="0.4">
      <c r="A36" t="b">
        <f>Table1[[#This Row],[Column1]]=P36</f>
        <v>1</v>
      </c>
      <c r="B36" s="14"/>
      <c r="C36" s="13" t="str">
        <f t="shared" si="0"/>
        <v>n.a.</v>
      </c>
      <c r="D36" s="13" t="str">
        <f t="shared" si="1"/>
        <v>n.a.</v>
      </c>
      <c r="E36" s="13" t="str">
        <f t="shared" si="2"/>
        <v>n.a.</v>
      </c>
      <c r="F36" s="13" t="str">
        <f t="shared" si="3"/>
        <v>n.a.</v>
      </c>
      <c r="G36" s="13" t="str">
        <f t="shared" si="4"/>
        <v>n.a.</v>
      </c>
      <c r="H36" s="13" t="str">
        <f t="shared" si="5"/>
        <v>n.a.</v>
      </c>
      <c r="I36" s="13" t="str">
        <f t="shared" si="6"/>
        <v>n.a.</v>
      </c>
      <c r="J36" s="13" t="str">
        <f t="shared" si="7"/>
        <v>n.a.</v>
      </c>
      <c r="K36" s="13" t="str">
        <f t="shared" si="8"/>
        <v>n.a.</v>
      </c>
      <c r="L36" s="13" t="str">
        <f t="shared" si="9"/>
        <v>n.a.</v>
      </c>
      <c r="M36" s="13">
        <f t="shared" si="11"/>
        <v>0</v>
      </c>
      <c r="Q36" s="16"/>
      <c r="R36" s="16"/>
      <c r="S36" s="16"/>
      <c r="T36" s="16"/>
      <c r="U36" s="16"/>
      <c r="V36" s="10"/>
      <c r="W36" s="10"/>
      <c r="X36" s="10"/>
      <c r="Y36" s="10"/>
      <c r="Z36" s="10"/>
      <c r="AA36" s="8"/>
      <c r="AB36" s="9"/>
      <c r="AC36" s="9"/>
      <c r="AD36" s="9"/>
      <c r="AE36" s="9"/>
      <c r="AF36" s="9"/>
      <c r="AG36" s="9"/>
      <c r="AH36" s="10"/>
      <c r="AI36" s="10"/>
      <c r="AJ36" s="10"/>
      <c r="AK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</row>
    <row r="37" spans="1:59" ht="14.6" x14ac:dyDescent="0.4">
      <c r="B37" s="8"/>
      <c r="C37" s="2"/>
      <c r="D37" s="2"/>
      <c r="E37" s="2"/>
      <c r="F37" s="2"/>
      <c r="G37" s="2"/>
      <c r="H37" s="2"/>
      <c r="I37" s="2"/>
      <c r="J37" s="2"/>
      <c r="K37" s="2"/>
      <c r="L37" s="2"/>
      <c r="M37" s="13"/>
      <c r="Y37" s="8"/>
      <c r="Z37" s="8"/>
      <c r="AA37" s="8"/>
      <c r="AB37" s="8"/>
      <c r="AC37" s="8"/>
      <c r="AD37" s="8"/>
      <c r="AE37" s="8"/>
      <c r="AF37" s="8"/>
      <c r="AG37" s="8"/>
    </row>
    <row r="38" spans="1:59" ht="14.6" x14ac:dyDescent="0.4">
      <c r="B38" s="8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Y38" s="8"/>
      <c r="Z38" s="8"/>
      <c r="AA38" s="8"/>
      <c r="AB38" s="8"/>
      <c r="AC38" s="8"/>
      <c r="AD38" s="8"/>
      <c r="AE38" s="8"/>
      <c r="AF38" s="8"/>
      <c r="AG38" s="8"/>
    </row>
    <row r="39" spans="1:59" ht="14.6" x14ac:dyDescent="0.4">
      <c r="B39" s="8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Y39" s="8"/>
      <c r="Z39" s="8"/>
      <c r="AA39" s="8"/>
      <c r="AB39" s="8"/>
      <c r="AC39" s="8"/>
      <c r="AD39" s="8"/>
      <c r="AE39" s="8"/>
      <c r="AF39" s="8"/>
      <c r="AG39" s="8"/>
    </row>
    <row r="40" spans="1:59" ht="14.6" x14ac:dyDescent="0.4">
      <c r="B40" s="8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Y40" s="8"/>
      <c r="Z40" s="8"/>
      <c r="AA40" s="8"/>
      <c r="AB40" s="8"/>
      <c r="AC40" s="8"/>
      <c r="AD40" s="8"/>
      <c r="AE40" s="8"/>
      <c r="AF40" s="8"/>
      <c r="AG40" s="8"/>
    </row>
    <row r="41" spans="1:59" ht="14.6" x14ac:dyDescent="0.4">
      <c r="B41" s="8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Y41" s="8"/>
      <c r="Z41" s="8"/>
      <c r="AA41" s="8"/>
      <c r="AB41" s="8"/>
      <c r="AC41" s="8"/>
      <c r="AD41" s="8"/>
      <c r="AE41" s="8"/>
      <c r="AF41" s="8"/>
      <c r="AG41" s="8"/>
    </row>
    <row r="42" spans="1:59" ht="14.6" x14ac:dyDescent="0.4">
      <c r="B42" s="8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Y42" s="8"/>
      <c r="Z42" s="8"/>
      <c r="AA42" s="8"/>
      <c r="AB42" s="8"/>
      <c r="AC42" s="8"/>
      <c r="AD42" s="8"/>
      <c r="AE42" s="8"/>
      <c r="AF42" s="8"/>
      <c r="AG42" s="7"/>
    </row>
    <row r="43" spans="1:59" ht="14.6" x14ac:dyDescent="0.4">
      <c r="B43" s="8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Y43" s="8"/>
      <c r="Z43" s="8"/>
      <c r="AA43" s="8"/>
      <c r="AB43" s="8"/>
      <c r="AC43" s="8"/>
      <c r="AD43" s="8"/>
      <c r="AE43" s="8"/>
      <c r="AF43" s="8"/>
      <c r="AG43" s="8"/>
    </row>
    <row r="44" spans="1:59" ht="14.6" x14ac:dyDescent="0.4">
      <c r="B44" s="8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Y44" s="8"/>
      <c r="Z44" s="8"/>
      <c r="AA44" s="8"/>
      <c r="AB44" s="8"/>
      <c r="AC44" s="8"/>
      <c r="AD44" s="8"/>
      <c r="AE44" s="8"/>
      <c r="AF44" s="8"/>
      <c r="AG44" s="8"/>
    </row>
    <row r="45" spans="1:59" ht="14.6" x14ac:dyDescent="0.4">
      <c r="B45" s="8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Y45" s="8"/>
      <c r="Z45" s="8"/>
      <c r="AA45" s="8"/>
      <c r="AB45" s="8"/>
      <c r="AC45" s="8"/>
      <c r="AD45" s="8"/>
      <c r="AE45" s="8"/>
      <c r="AF45" s="8"/>
      <c r="AG45" s="8"/>
    </row>
    <row r="46" spans="1:59" ht="14.6" x14ac:dyDescent="0.4">
      <c r="B46" s="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Y46" s="8"/>
      <c r="Z46" s="8"/>
      <c r="AA46" s="8"/>
      <c r="AB46" s="8"/>
      <c r="AC46" s="8"/>
      <c r="AD46" s="8"/>
      <c r="AE46" s="8"/>
      <c r="AF46" s="8"/>
      <c r="AG46" s="7"/>
    </row>
    <row r="47" spans="1:59" ht="14.6" x14ac:dyDescent="0.4">
      <c r="B47" s="8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Y47" s="8"/>
      <c r="Z47" s="8"/>
      <c r="AA47" s="8"/>
      <c r="AB47" s="8"/>
      <c r="AC47" s="8"/>
      <c r="AD47" s="8"/>
      <c r="AE47" s="8"/>
      <c r="AF47" s="8"/>
      <c r="AG47" s="7"/>
    </row>
    <row r="48" spans="1:59" ht="14.6" x14ac:dyDescent="0.4">
      <c r="B48" s="8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Y48" s="8"/>
      <c r="Z48" s="8"/>
      <c r="AA48" s="8"/>
      <c r="AB48" s="8"/>
      <c r="AC48" s="8"/>
      <c r="AD48" s="8"/>
      <c r="AE48" s="8"/>
      <c r="AF48" s="8"/>
      <c r="AG48" s="8"/>
    </row>
    <row r="49" spans="2:33" ht="14.6" x14ac:dyDescent="0.4">
      <c r="B49" s="8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Y49" s="8"/>
      <c r="Z49" s="8"/>
      <c r="AA49" s="8"/>
      <c r="AB49" s="8"/>
      <c r="AC49" s="8"/>
      <c r="AD49" s="8"/>
      <c r="AE49" s="8"/>
      <c r="AF49" s="8"/>
      <c r="AG49" s="8"/>
    </row>
    <row r="50" spans="2:33" ht="14.6" x14ac:dyDescent="0.4">
      <c r="B50" s="8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Y50" s="8"/>
      <c r="Z50" s="8"/>
      <c r="AA50" s="8"/>
      <c r="AB50" s="8"/>
      <c r="AC50" s="8"/>
      <c r="AD50" s="8"/>
      <c r="AE50" s="8"/>
      <c r="AF50" s="8"/>
      <c r="AG50" s="8"/>
    </row>
    <row r="51" spans="2:33" ht="14.6" x14ac:dyDescent="0.4">
      <c r="B51" s="8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Y51" s="8"/>
      <c r="Z51" s="8"/>
      <c r="AA51" s="8"/>
      <c r="AB51" s="8"/>
      <c r="AC51" s="8"/>
      <c r="AD51" s="8"/>
      <c r="AE51" s="8"/>
      <c r="AF51" s="8"/>
      <c r="AG51" s="8"/>
    </row>
    <row r="52" spans="2:33" ht="14.6" x14ac:dyDescent="0.4">
      <c r="B52" s="8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Y52" s="8"/>
      <c r="Z52" s="8"/>
      <c r="AA52" s="8"/>
      <c r="AB52" s="8"/>
      <c r="AC52" s="8"/>
      <c r="AD52" s="8"/>
      <c r="AE52" s="8"/>
      <c r="AF52" s="8"/>
      <c r="AG52" s="8"/>
    </row>
    <row r="53" spans="2:33" ht="14.6" x14ac:dyDescent="0.4">
      <c r="B53" s="8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Y53" s="8"/>
      <c r="Z53" s="8"/>
      <c r="AA53" s="8"/>
      <c r="AB53" s="8"/>
      <c r="AC53" s="8"/>
      <c r="AD53" s="8"/>
      <c r="AE53" s="8"/>
      <c r="AF53" s="8"/>
      <c r="AG53" s="8"/>
    </row>
    <row r="54" spans="2:33" ht="14.6" x14ac:dyDescent="0.4">
      <c r="B54" s="8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Y54" s="8"/>
      <c r="Z54" s="8"/>
      <c r="AA54" s="8"/>
      <c r="AB54" s="8"/>
      <c r="AC54" s="8"/>
      <c r="AD54" s="8"/>
      <c r="AE54" s="8"/>
      <c r="AF54" s="8"/>
      <c r="AG54" s="8"/>
    </row>
    <row r="55" spans="2:33" ht="14.6" x14ac:dyDescent="0.4">
      <c r="B55" s="8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Y55" s="8"/>
      <c r="Z55" s="8"/>
      <c r="AA55" s="8"/>
      <c r="AB55" s="8"/>
      <c r="AC55" s="8"/>
      <c r="AD55" s="8"/>
      <c r="AE55" s="8"/>
      <c r="AF55" s="8"/>
      <c r="AG55" s="8"/>
    </row>
    <row r="56" spans="2:33" ht="14.6" x14ac:dyDescent="0.4">
      <c r="B56" s="8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Y56" s="8"/>
      <c r="Z56" s="8"/>
      <c r="AA56" s="8"/>
      <c r="AB56" s="8"/>
      <c r="AC56" s="8"/>
      <c r="AD56" s="8"/>
      <c r="AE56" s="8"/>
      <c r="AF56" s="8"/>
      <c r="AG56" s="8"/>
    </row>
    <row r="57" spans="2:33" ht="14.6" x14ac:dyDescent="0.4">
      <c r="B57" s="8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Y57" s="8"/>
      <c r="Z57" s="8"/>
      <c r="AA57" s="8"/>
      <c r="AB57" s="8"/>
      <c r="AC57" s="8"/>
      <c r="AD57" s="8"/>
      <c r="AE57" s="8"/>
      <c r="AF57" s="8"/>
      <c r="AG57" s="8"/>
    </row>
    <row r="58" spans="2:33" ht="14.6" x14ac:dyDescent="0.4">
      <c r="B58" s="8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Y58" s="8"/>
      <c r="Z58" s="8"/>
      <c r="AA58" s="8"/>
      <c r="AB58" s="8"/>
      <c r="AC58" s="8"/>
      <c r="AD58" s="8"/>
      <c r="AE58" s="8"/>
      <c r="AF58" s="8"/>
      <c r="AG58" s="8"/>
    </row>
    <row r="59" spans="2:33" ht="14.6" x14ac:dyDescent="0.4">
      <c r="B59" s="8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Y59" s="8"/>
      <c r="Z59" s="8"/>
      <c r="AA59" s="8"/>
      <c r="AB59" s="8"/>
      <c r="AC59" s="8"/>
      <c r="AD59" s="8"/>
      <c r="AE59" s="8"/>
      <c r="AF59" s="8"/>
      <c r="AG59" s="8"/>
    </row>
    <row r="60" spans="2:33" ht="14.6" x14ac:dyDescent="0.4">
      <c r="B60" s="8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Y60" s="8"/>
      <c r="Z60" s="8"/>
      <c r="AA60" s="8"/>
      <c r="AB60" s="8"/>
      <c r="AC60" s="8"/>
      <c r="AD60" s="8"/>
      <c r="AE60" s="8"/>
      <c r="AF60" s="8"/>
      <c r="AG60" s="8"/>
    </row>
    <row r="61" spans="2:33" ht="14.6" x14ac:dyDescent="0.4">
      <c r="B61" s="8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Y61" s="8"/>
      <c r="Z61" s="8"/>
      <c r="AA61" s="8"/>
      <c r="AB61" s="8"/>
      <c r="AC61" s="8"/>
      <c r="AD61" s="8"/>
      <c r="AE61" s="8"/>
      <c r="AF61" s="8"/>
      <c r="AG61" s="8"/>
    </row>
    <row r="62" spans="2:33" ht="14.6" x14ac:dyDescent="0.4">
      <c r="B62" s="8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Y62" s="8"/>
      <c r="Z62" s="8"/>
      <c r="AA62" s="8"/>
      <c r="AB62" s="8"/>
      <c r="AC62" s="8"/>
      <c r="AD62" s="8"/>
      <c r="AE62" s="8"/>
      <c r="AF62" s="8"/>
      <c r="AG62" s="8"/>
    </row>
    <row r="63" spans="2:33" ht="14.6" x14ac:dyDescent="0.4">
      <c r="B63" s="8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Y63" s="8"/>
      <c r="Z63" s="8"/>
      <c r="AA63" s="8"/>
      <c r="AB63" s="8"/>
      <c r="AC63" s="8"/>
      <c r="AD63" s="8"/>
      <c r="AE63" s="8"/>
      <c r="AF63" s="8"/>
      <c r="AG63" s="8"/>
    </row>
    <row r="64" spans="2:33" ht="14.6" x14ac:dyDescent="0.4">
      <c r="B64" s="8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Y64" s="8"/>
      <c r="Z64" s="8"/>
      <c r="AA64" s="8"/>
      <c r="AB64" s="8"/>
      <c r="AC64" s="8"/>
      <c r="AD64" s="8"/>
      <c r="AE64" s="8"/>
      <c r="AF64" s="8"/>
      <c r="AG64" s="8"/>
    </row>
    <row r="65" spans="2:33" ht="14.6" x14ac:dyDescent="0.4">
      <c r="B65" s="8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Y65" s="8"/>
      <c r="Z65" s="8"/>
      <c r="AA65" s="8"/>
      <c r="AB65" s="8"/>
      <c r="AC65" s="8"/>
      <c r="AD65" s="8"/>
      <c r="AE65" s="8"/>
      <c r="AF65" s="8"/>
      <c r="AG65" s="8"/>
    </row>
    <row r="66" spans="2:33" ht="14.6" x14ac:dyDescent="0.4">
      <c r="B66" s="8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Y66" s="8"/>
      <c r="Z66" s="8"/>
      <c r="AA66" s="8"/>
      <c r="AB66" s="8"/>
      <c r="AC66" s="8"/>
      <c r="AD66" s="8"/>
      <c r="AE66" s="8"/>
      <c r="AF66" s="8"/>
      <c r="AG66" s="8"/>
    </row>
    <row r="67" spans="2:33" ht="14.6" x14ac:dyDescent="0.4">
      <c r="B67" s="8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Y67" s="8"/>
      <c r="Z67" s="8"/>
      <c r="AA67" s="8"/>
      <c r="AB67" s="8"/>
      <c r="AC67" s="8"/>
      <c r="AD67" s="8"/>
      <c r="AE67" s="8"/>
      <c r="AF67" s="8"/>
      <c r="AG67" s="8"/>
    </row>
    <row r="68" spans="2:33" ht="14.6" x14ac:dyDescent="0.4">
      <c r="B68" s="8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Y68" s="8"/>
      <c r="Z68" s="8"/>
      <c r="AA68" s="8"/>
      <c r="AB68" s="8"/>
      <c r="AC68" s="8"/>
      <c r="AD68" s="8"/>
      <c r="AE68" s="8"/>
      <c r="AF68" s="8"/>
      <c r="AG68" s="8"/>
    </row>
    <row r="69" spans="2:33" ht="14.6" x14ac:dyDescent="0.4">
      <c r="B69" s="8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Y69" s="8"/>
      <c r="Z69" s="8"/>
      <c r="AA69" s="8"/>
      <c r="AB69" s="8"/>
      <c r="AC69" s="8"/>
      <c r="AD69" s="8"/>
      <c r="AE69" s="8"/>
      <c r="AF69" s="8"/>
      <c r="AG69" s="7"/>
    </row>
    <row r="70" spans="2:33" ht="14.6" x14ac:dyDescent="0.4">
      <c r="B70" s="8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Y70" s="8"/>
      <c r="Z70" s="8"/>
      <c r="AA70" s="8"/>
      <c r="AB70" s="8"/>
      <c r="AC70" s="8"/>
      <c r="AD70" s="8"/>
      <c r="AE70" s="8"/>
      <c r="AF70" s="8"/>
      <c r="AG70" s="8"/>
    </row>
    <row r="71" spans="2:33" ht="14.6" x14ac:dyDescent="0.4">
      <c r="B71" s="8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Y71" s="8"/>
      <c r="Z71" s="8"/>
      <c r="AA71" s="8"/>
      <c r="AB71" s="8"/>
      <c r="AC71" s="8"/>
      <c r="AD71" s="8"/>
      <c r="AE71" s="8"/>
      <c r="AF71" s="8"/>
      <c r="AG71" s="7"/>
    </row>
    <row r="72" spans="2:33" ht="14.6" x14ac:dyDescent="0.4">
      <c r="B72" s="8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Y72" s="8"/>
      <c r="Z72" s="8"/>
      <c r="AA72" s="8"/>
      <c r="AB72" s="8"/>
      <c r="AC72" s="8"/>
      <c r="AD72" s="8"/>
      <c r="AE72" s="8"/>
      <c r="AF72" s="8"/>
      <c r="AG72" s="8"/>
    </row>
    <row r="73" spans="2:33" ht="14.6" x14ac:dyDescent="0.4">
      <c r="B73" s="8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Y73" s="8"/>
      <c r="Z73" s="8"/>
      <c r="AA73" s="8"/>
      <c r="AB73" s="8"/>
      <c r="AC73" s="8"/>
      <c r="AD73" s="8"/>
      <c r="AE73" s="8"/>
      <c r="AF73" s="8"/>
      <c r="AG73" s="8"/>
    </row>
    <row r="74" spans="2:33" ht="14.6" x14ac:dyDescent="0.4">
      <c r="B74" s="8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Y74" s="8"/>
      <c r="Z74" s="8"/>
      <c r="AA74" s="8"/>
      <c r="AB74" s="8"/>
      <c r="AC74" s="8"/>
      <c r="AD74" s="8"/>
      <c r="AE74" s="8"/>
      <c r="AF74" s="8"/>
      <c r="AG74" s="7"/>
    </row>
    <row r="75" spans="2:33" ht="14.6" x14ac:dyDescent="0.4">
      <c r="B75" s="8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Y75" s="8"/>
      <c r="Z75" s="8"/>
      <c r="AA75" s="8"/>
      <c r="AB75" s="8"/>
      <c r="AC75" s="8"/>
      <c r="AD75" s="8"/>
      <c r="AE75" s="8"/>
      <c r="AF75" s="8"/>
      <c r="AG75" s="8"/>
    </row>
    <row r="76" spans="2:33" ht="14.6" x14ac:dyDescent="0.4">
      <c r="B76" s="8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Y76" s="8"/>
      <c r="Z76" s="8"/>
      <c r="AA76" s="8"/>
      <c r="AB76" s="8"/>
      <c r="AC76" s="8"/>
      <c r="AD76" s="8"/>
      <c r="AE76" s="8"/>
      <c r="AF76" s="8"/>
      <c r="AG76" s="8"/>
    </row>
    <row r="77" spans="2:33" ht="14.6" x14ac:dyDescent="0.4">
      <c r="B77" s="8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Y77" s="8"/>
      <c r="Z77" s="8"/>
      <c r="AA77" s="8"/>
      <c r="AB77" s="8"/>
      <c r="AC77" s="8"/>
      <c r="AD77" s="8"/>
      <c r="AE77" s="8"/>
      <c r="AF77" s="8"/>
      <c r="AG77" s="8"/>
    </row>
    <row r="78" spans="2:33" ht="14.6" x14ac:dyDescent="0.4">
      <c r="B78" s="8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Y78" s="8"/>
      <c r="Z78" s="8"/>
      <c r="AA78" s="8"/>
      <c r="AB78" s="8"/>
      <c r="AC78" s="8"/>
      <c r="AD78" s="8"/>
      <c r="AE78" s="8"/>
      <c r="AF78" s="8"/>
      <c r="AG78" s="7"/>
    </row>
    <row r="79" spans="2:33" ht="14.6" x14ac:dyDescent="0.4">
      <c r="B79" s="8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Y79" s="8"/>
      <c r="Z79" s="8"/>
      <c r="AA79" s="8"/>
      <c r="AB79" s="8"/>
      <c r="AC79" s="8"/>
      <c r="AD79" s="8"/>
      <c r="AE79" s="8"/>
      <c r="AF79" s="8"/>
      <c r="AG79" s="8"/>
    </row>
    <row r="80" spans="2:33" ht="14.6" x14ac:dyDescent="0.4">
      <c r="B80" s="8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Y80" s="8"/>
      <c r="Z80" s="8"/>
      <c r="AA80" s="8"/>
      <c r="AB80" s="8"/>
      <c r="AC80" s="8"/>
      <c r="AD80" s="8"/>
      <c r="AE80" s="8"/>
      <c r="AF80" s="8"/>
      <c r="AG80" s="8"/>
    </row>
    <row r="81" spans="2:33" ht="14.6" x14ac:dyDescent="0.4">
      <c r="B81" s="8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Y81" s="8"/>
      <c r="Z81" s="8"/>
      <c r="AA81" s="8"/>
      <c r="AB81" s="8"/>
      <c r="AC81" s="8"/>
      <c r="AD81" s="8"/>
      <c r="AE81" s="8"/>
      <c r="AF81" s="8"/>
      <c r="AG81" s="8"/>
    </row>
    <row r="82" spans="2:33" ht="14.6" x14ac:dyDescent="0.4">
      <c r="B82" s="8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Y82" s="8"/>
      <c r="Z82" s="8"/>
      <c r="AA82" s="8"/>
      <c r="AB82" s="8"/>
      <c r="AC82" s="8"/>
      <c r="AD82" s="8"/>
      <c r="AE82" s="8"/>
      <c r="AF82" s="8"/>
      <c r="AG82" s="8"/>
    </row>
    <row r="83" spans="2:33" ht="14.6" x14ac:dyDescent="0.4">
      <c r="B83" s="8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Y83" s="8"/>
      <c r="Z83" s="8"/>
      <c r="AA83" s="8"/>
      <c r="AB83" s="8"/>
      <c r="AC83" s="8"/>
      <c r="AD83" s="8"/>
      <c r="AE83" s="8"/>
      <c r="AF83" s="8"/>
      <c r="AG83" s="8"/>
    </row>
    <row r="84" spans="2:33" ht="14.6" x14ac:dyDescent="0.4">
      <c r="B84" s="8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Y84" s="8"/>
      <c r="Z84" s="8"/>
      <c r="AA84" s="8"/>
      <c r="AB84" s="8"/>
      <c r="AC84" s="8"/>
      <c r="AD84" s="8"/>
      <c r="AE84" s="8"/>
      <c r="AF84" s="8"/>
      <c r="AG84" s="8"/>
    </row>
    <row r="85" spans="2:33" ht="14.6" x14ac:dyDescent="0.4">
      <c r="B85" s="8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Y85" s="8"/>
      <c r="Z85" s="8"/>
      <c r="AA85" s="8"/>
      <c r="AB85" s="8"/>
      <c r="AC85" s="8"/>
      <c r="AD85" s="8"/>
      <c r="AE85" s="8"/>
      <c r="AF85" s="8"/>
      <c r="AG85" s="8"/>
    </row>
    <row r="86" spans="2:33" ht="14.6" x14ac:dyDescent="0.4">
      <c r="B86" s="8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2:33" ht="14.6" x14ac:dyDescent="0.4">
      <c r="B87" s="8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2:33" ht="14.6" x14ac:dyDescent="0.4">
      <c r="B88" s="8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</sheetData>
  <phoneticPr fontId="6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MF Matches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Chelsea Mao</dc:creator>
  <cp:lastModifiedBy>Anna Meng Li</cp:lastModifiedBy>
  <dcterms:created xsi:type="dcterms:W3CDTF">2020-03-28T03:13:12Z</dcterms:created>
  <dcterms:modified xsi:type="dcterms:W3CDTF">2020-05-11T23:27:06Z</dcterms:modified>
</cp:coreProperties>
</file>